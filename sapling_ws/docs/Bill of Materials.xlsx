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.sharepoint.com/sites/UOM-EEEN40330-2025-26-TEAM7/Shared Documents/General/Budget/"/>
    </mc:Choice>
  </mc:AlternateContent>
  <xr:revisionPtr revIDLastSave="1058" documentId="8_{C275F160-C3A4-42EB-807A-BBA1EDF3D38C}" xr6:coauthVersionLast="47" xr6:coauthVersionMax="47" xr10:uidLastSave="{BD36D3A6-8202-41A4-A1B5-2C0B6543641F}"/>
  <bookViews>
    <workbookView xWindow="-98" yWindow="-98" windowWidth="21795" windowHeight="13695" activeTab="1" xr2:uid="{525273A3-451C-49D9-9B56-79A74907470B}"/>
  </bookViews>
  <sheets>
    <sheet name="Budget" sheetId="1" r:id="rId1"/>
    <sheet name="Equipment" sheetId="3" r:id="rId2"/>
    <sheet name="BOM" sheetId="4" r:id="rId3"/>
    <sheet name="Data Validation" sheetId="2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6" i="1"/>
  <c r="G45" i="1"/>
  <c r="G43" i="4"/>
  <c r="G42" i="1"/>
  <c r="G43" i="1"/>
  <c r="G44" i="1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5" i="4"/>
  <c r="G6" i="4"/>
  <c r="G7" i="4"/>
  <c r="G8" i="4"/>
  <c r="G9" i="4"/>
  <c r="G10" i="4"/>
  <c r="G11" i="4"/>
  <c r="G12" i="4"/>
  <c r="G4" i="4"/>
  <c r="G48" i="1" l="1"/>
  <c r="G33" i="1"/>
  <c r="G34" i="1"/>
  <c r="G35" i="1"/>
  <c r="G36" i="1"/>
  <c r="G37" i="1"/>
  <c r="G38" i="1"/>
  <c r="G39" i="1"/>
  <c r="G40" i="1"/>
  <c r="G4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5" i="1"/>
  <c r="G6" i="1"/>
  <c r="G7" i="1"/>
  <c r="G8" i="1"/>
  <c r="G9" i="1"/>
  <c r="G10" i="1"/>
  <c r="G11" i="1"/>
  <c r="G12" i="1"/>
  <c r="G4" i="1"/>
  <c r="G49" i="1" l="1"/>
  <c r="G53" i="1" l="1"/>
  <c r="G52" i="1"/>
</calcChain>
</file>

<file path=xl/sharedStrings.xml><?xml version="1.0" encoding="utf-8"?>
<sst xmlns="http://schemas.openxmlformats.org/spreadsheetml/2006/main" count="456" uniqueCount="255">
  <si>
    <t xml:space="preserve">MEng Team 7 </t>
  </si>
  <si>
    <t>Tracked Spend</t>
  </si>
  <si>
    <t>Item ID</t>
  </si>
  <si>
    <t>Item Description</t>
  </si>
  <si>
    <t>Category/Sub-team</t>
  </si>
  <si>
    <t>Order Date</t>
  </si>
  <si>
    <t>Quantity</t>
  </si>
  <si>
    <t>Item Cost (exc. VAT)</t>
  </si>
  <si>
    <t>Total Cost (exc. VAT)</t>
  </si>
  <si>
    <t>Ordered, estimated cost</t>
  </si>
  <si>
    <t>Silicon Power P34A60 M.2 NVMe SSD - 256GB</t>
  </si>
  <si>
    <t>Integration</t>
  </si>
  <si>
    <t>Received, estimated cost</t>
  </si>
  <si>
    <t>Adafruit RFM96W LoRa RF Transceiver Breakout Board 433MHz 3073</t>
  </si>
  <si>
    <t>Received, final cost</t>
  </si>
  <si>
    <t>RF Solutions ANT-4WHIP3H-SMA Whip Omnidirectional Antenna with SMA Connector, ISM Band</t>
  </si>
  <si>
    <t>Raspberry Pi, Pi Camera, , CSI-2 with 12 Megapixels Resolution</t>
  </si>
  <si>
    <t>Navigation</t>
  </si>
  <si>
    <t>RS PRO Male DisplayPort to Male DisplayPort Cable, 8K, 1m</t>
  </si>
  <si>
    <t>USB to LoRa Dongle 433 MHz</t>
  </si>
  <si>
    <t>RS PRO Silver Anodised Aluminium Strut Profile 30 x 30 mm 8 mm Groove, 2 m Length, 30 x 30 mm Square, Series B8 3030</t>
  </si>
  <si>
    <t>RS PRO M5 T-Slot Nut, Connecting Component, Strut Profile 30 mm, Groove Size 8 mm, Round Tube Size 5 mm</t>
  </si>
  <si>
    <t>RS PRO M4 T-Slot Nut, Connecting Component, Strut Profile 30 mm, Groove Size 8 mm, Round Tube Size 4 mm</t>
  </si>
  <si>
    <t>RF Solutions ANT-4WHIP3H-SMA Whip Omni-Directional Antenna with SMA Connector, ISM Band</t>
  </si>
  <si>
    <t>YDLIDAR X4PRO 360 degrees 2D Rangefinder</t>
  </si>
  <si>
    <t>RS PRO DC-DC Converter, 12V dc/ 5A Output, 18 → 32 V dc Input, 60W, Chassis Mount, +50°C Max Temp -20°C Min Temp</t>
  </si>
  <si>
    <t>2.1mm DC Connector Lead Male to Male 2m -  PPW00026</t>
  </si>
  <si>
    <t>DC Plug to Bare Ends Power Lead, 2.5mm Plug, 1.5m -  PPW00020</t>
  </si>
  <si>
    <t>USB-C Plug to USB-C Plug USB 3.2 Gen 1 5Gbps Lead, 1.5m White -  NLMOB-931-1H</t>
  </si>
  <si>
    <t>DFRobot Accessories High Quality Gold Plated XT30 Male &amp; Female Bullet Connector</t>
  </si>
  <si>
    <t>Input Devices Wireless Keyboard &amp; Mouse w/batteries</t>
  </si>
  <si>
    <t>BLUETTI Elite 10 Mini Power Station</t>
  </si>
  <si>
    <t>Seeed Studio Grove - Time of Flight Distance Sensor(VL53L0X) Sensor Board for VL53L0X</t>
  </si>
  <si>
    <t>Master Lock 2.5 m Ratchet Strap, 25 mm Wide</t>
  </si>
  <si>
    <t>Seeed Studio 110990028 for use with 2.54 mm Pitch Pin Header</t>
  </si>
  <si>
    <t>RS PRO 2.1 mm DC Plug to Unterminated Power Cord, 1.8 m Black</t>
  </si>
  <si>
    <t>RS PRO M4 T-Slot Nut, Connecting Component, Strut Profile 30 mm, Groove Size 8 mm, Round Tube Size 4 mm, the nuts come in bags of 10</t>
  </si>
  <si>
    <t>6 Ft DC Power Cord Straight 2.5x5.5 18AWG</t>
  </si>
  <si>
    <t xml:space="preserve">TudaGrass Vivid 65mm Artificial Grass 2x1 m </t>
  </si>
  <si>
    <t>Total Cost (inc. VAT)</t>
  </si>
  <si>
    <t>Total Remaining</t>
  </si>
  <si>
    <t>Subteams</t>
  </si>
  <si>
    <t>Robotic Arm Manipulation</t>
  </si>
  <si>
    <t>Shipping Costs</t>
  </si>
  <si>
    <t>Kern CK 50-Y4 Load Cell 1piece Compact Design. The load cells come in a box of four.</t>
  </si>
  <si>
    <t>GP GPPCA15AS650 GP Super Alkaline AA 24's Paper box</t>
  </si>
  <si>
    <t>SparkFun Accessories Load Cell Amplifier- HX711. Mouser No:</t>
  </si>
  <si>
    <t>35L Multi-Use Clear Storage Box with Lid - 310mm x 390mm x 480mm - 35C</t>
  </si>
  <si>
    <t>RS PRO SMA Series Edge Female SMA, 50 Ω, Straight Body Solder</t>
  </si>
  <si>
    <t>RS PRO 85 dB Panel Mount Continuous Internal 13.5 mm Piezo Buzzer Component 44 mm 3 V dc Min 12V dc Max</t>
  </si>
  <si>
    <t>Schneider Electric Harmony Series, Latching, Emergency Stop Push Button Head 22 mm Diameter</t>
  </si>
  <si>
    <t>Arduino Mega 2560 Rev 3</t>
  </si>
  <si>
    <t>RS PRO IC Socket USB Cable, Male USB Type A to Male, USB 2.0 USB B, Black, 1.8 m</t>
  </si>
  <si>
    <t>Total Spent</t>
  </si>
  <si>
    <t>Molex DisplayPort Series Right Angle Surface PCB Socket, 20-Contact, 2 Row, 0.5 mm Pitch Solder</t>
  </si>
  <si>
    <t>Three Axis Mobile Gimbal - SMOOTH Q3</t>
  </si>
  <si>
    <t>AA 1.5V Batteries</t>
  </si>
  <si>
    <t>Train Tickets</t>
  </si>
  <si>
    <t>Litter Retrieval</t>
  </si>
  <si>
    <t>Comms &amp; Interfaces</t>
  </si>
  <si>
    <t>Contingency</t>
  </si>
  <si>
    <t>Notes</t>
  </si>
  <si>
    <t>Current Location</t>
  </si>
  <si>
    <t>Equipment Description</t>
  </si>
  <si>
    <t>Equipment ID</t>
  </si>
  <si>
    <t>Equipment Inventory</t>
  </si>
  <si>
    <t xml:space="preserve">MEng Team 4 </t>
  </si>
  <si>
    <t>AgileX Scout Mini</t>
  </si>
  <si>
    <t>AgileX PiPER Arm</t>
  </si>
  <si>
    <t>Jetson Orin Nano</t>
  </si>
  <si>
    <t>Orbecc Femto Mega Camera</t>
  </si>
  <si>
    <t>Emlid Reach RTK Base Station</t>
  </si>
  <si>
    <t>Emlid Reach GNSS Rover Module with Antenna</t>
  </si>
  <si>
    <t>YDLiDAR X4PRO</t>
  </si>
  <si>
    <t>256 GB NVMe SSD</t>
  </si>
  <si>
    <t>AdaFruit 433 MHz Breakout Board</t>
  </si>
  <si>
    <t>433 MHz Antenna</t>
  </si>
  <si>
    <t>M5 T-Slot Nut</t>
  </si>
  <si>
    <t>3 (bags of 10)</t>
  </si>
  <si>
    <t xml:space="preserve">M4 T-Slot Nut </t>
  </si>
  <si>
    <t>4 (bags of 10)</t>
  </si>
  <si>
    <t>Raspberry Pi Camera</t>
  </si>
  <si>
    <t xml:space="preserve">Male to Male Display Port </t>
  </si>
  <si>
    <t>12 V DC-DC Converter</t>
  </si>
  <si>
    <t>2.1 mm DC Connector Male to Male (26 AWG)</t>
  </si>
  <si>
    <t>2.5 mm DC to Bare Plugs Connector (20 AWG)</t>
  </si>
  <si>
    <t>2.1 mm DC Connector Male to Male (20 AWG)</t>
  </si>
  <si>
    <t>2.5 mm DC to Bare Plugs Connector (18 AWG)</t>
  </si>
  <si>
    <t>3.2 Gen USB-C to USB-C Connector</t>
  </si>
  <si>
    <t>XT30 Male and Female Connector</t>
  </si>
  <si>
    <t>Wireless Keyboard and Mouse</t>
  </si>
  <si>
    <t>Seed Studio Grove Time of Flight Sensor</t>
  </si>
  <si>
    <t>2.5m Ratchet Strap</t>
  </si>
  <si>
    <t>Seed Studio 2.4mm Pitch Pin Header</t>
  </si>
  <si>
    <t>65 mm Thick Fake Grass 2x1 m</t>
  </si>
  <si>
    <t>50-Y4 Load Cell</t>
  </si>
  <si>
    <t>1 (box of 4)</t>
  </si>
  <si>
    <t>SparkFun Load Cell Amplifier</t>
  </si>
  <si>
    <t>Super Alkaline AA Batteries</t>
  </si>
  <si>
    <t>1 (box of 24)</t>
  </si>
  <si>
    <t xml:space="preserve">35L Storage Box </t>
  </si>
  <si>
    <t>SMA Straight Body Solder</t>
  </si>
  <si>
    <t>Piezo Buzzer</t>
  </si>
  <si>
    <t>Emergency Stop Button</t>
  </si>
  <si>
    <t>Arduino Mega Board</t>
  </si>
  <si>
    <t>USB-A to USB-B Connector</t>
  </si>
  <si>
    <t>Display Port Component</t>
  </si>
  <si>
    <t>AAA 1.5V Batteries</t>
  </si>
  <si>
    <t>1 (box of 10)</t>
  </si>
  <si>
    <t>Three Axis Mobile Gimbal</t>
  </si>
  <si>
    <t>MEng Space 10 Room 2b.004</t>
  </si>
  <si>
    <t>Mounted on PickBot (1) and BinBot (1)</t>
  </si>
  <si>
    <t>Mounted on PickBot (1), Manufacturer Box (1)</t>
  </si>
  <si>
    <t>All boxes are located in MEng Spce 10</t>
  </si>
  <si>
    <t>Jetson Orin Nano SSD Slots (2)</t>
  </si>
  <si>
    <t>Jetson Orin Nano Pins (2), Arduino Pin (1)</t>
  </si>
  <si>
    <t>AdaFruit Board Pin (3)</t>
  </si>
  <si>
    <t>One antenna per board</t>
  </si>
  <si>
    <t>One SSD per Jetson</t>
  </si>
  <si>
    <t>One Breakout Board on each Jetson and 
the Arduino</t>
  </si>
  <si>
    <t>PickBot and BinBot</t>
  </si>
  <si>
    <t>Extra nuts located in hardware box 1</t>
  </si>
  <si>
    <t>Mounted on PickBot</t>
  </si>
  <si>
    <t>Hardware Box 2</t>
  </si>
  <si>
    <t>Unused</t>
  </si>
  <si>
    <t>Navigation Box</t>
  </si>
  <si>
    <t>Connected between BLUETTI power station and 
PickBot camera</t>
  </si>
  <si>
    <t>Extra wires located in hardware box 2</t>
  </si>
  <si>
    <t>Connected between DC-DC Converter and 
Jetson Orin Nano</t>
  </si>
  <si>
    <t>Connections are on PickBot and BinBot</t>
  </si>
  <si>
    <t xml:space="preserve">Connected between Camera and Jetson on PickBot (1), hardware box 2 (1)
</t>
  </si>
  <si>
    <t>hardware box 2</t>
  </si>
  <si>
    <t>hardware box 1</t>
  </si>
  <si>
    <t>hardware box 2 (2)</t>
  </si>
  <si>
    <t>PickBot (1), hardware box 1 (3)</t>
  </si>
  <si>
    <t>hardware box 2 (3)</t>
  </si>
  <si>
    <t>Yet to arrive</t>
  </si>
  <si>
    <t>ETA is after the completion of the 
project</t>
  </si>
  <si>
    <t>Pending arrival of the load cells to be 
used</t>
  </si>
  <si>
    <t>Disposed</t>
  </si>
  <si>
    <t>All batteries have been used</t>
  </si>
  <si>
    <t>Mounted on BinBot (1)</t>
  </si>
  <si>
    <t>Each body has been soldered onto each
respective AdaFruit board</t>
  </si>
  <si>
    <t>AdaFruit Board (3)</t>
  </si>
  <si>
    <t>PickBot (1), BinBot (1)</t>
  </si>
  <si>
    <t>Communications box (1)</t>
  </si>
  <si>
    <t>Soldered on Jetson Orin Nano (PickBot)</t>
  </si>
  <si>
    <t>Jetson Orin Nano Mount</t>
  </si>
  <si>
    <t xml:space="preserve">LiDAR Mount </t>
  </si>
  <si>
    <t>Emlid Reach Rover Module Mount</t>
  </si>
  <si>
    <t>Emlid Reach Rover Antenna Mount</t>
  </si>
  <si>
    <t>PickBot Mounting Plate</t>
  </si>
  <si>
    <t xml:space="preserve">Mounted on PickBot (1) </t>
  </si>
  <si>
    <t>BinBot Mounting Plate</t>
  </si>
  <si>
    <t>Supplier</t>
  </si>
  <si>
    <t>Subsystem</t>
  </si>
  <si>
    <t>NAV-001</t>
  </si>
  <si>
    <t>NAV-002</t>
  </si>
  <si>
    <t>AgileX</t>
  </si>
  <si>
    <t>YDLiDAR X4 PRO</t>
  </si>
  <si>
    <t>RobotShop</t>
  </si>
  <si>
    <t>Item Cost (£ Inc. VAT)</t>
  </si>
  <si>
    <t>Total Cost (£ Inc. VAT)</t>
  </si>
  <si>
    <t>LDS-001</t>
  </si>
  <si>
    <t>Litter Deection</t>
  </si>
  <si>
    <t>Orbecc</t>
  </si>
  <si>
    <t>RET-001</t>
  </si>
  <si>
    <t>RET-002</t>
  </si>
  <si>
    <t>AgileX Gripper</t>
  </si>
  <si>
    <t>Connected to arm (1), Manufacturer Box (1)</t>
  </si>
  <si>
    <t xml:space="preserve">AgileX PiPER Arm </t>
  </si>
  <si>
    <t>RET-003</t>
  </si>
  <si>
    <t>RET-004</t>
  </si>
  <si>
    <t>RET-005</t>
  </si>
  <si>
    <t xml:space="preserve">Aluminium Strut Profile 2m </t>
  </si>
  <si>
    <t>BLUETTI</t>
  </si>
  <si>
    <t>RS Components</t>
  </si>
  <si>
    <t>2.5 m Ratchet Strap</t>
  </si>
  <si>
    <t>RET-006</t>
  </si>
  <si>
    <t>35L Storage Box</t>
  </si>
  <si>
    <t>CPC Farnell</t>
  </si>
  <si>
    <t>COM-001</t>
  </si>
  <si>
    <t>COM-002</t>
  </si>
  <si>
    <t>Communications &amp; Interfaces</t>
  </si>
  <si>
    <t>COM-003</t>
  </si>
  <si>
    <t>COM-004</t>
  </si>
  <si>
    <t>COM-005</t>
  </si>
  <si>
    <t>COM-006</t>
  </si>
  <si>
    <t>INT-001</t>
  </si>
  <si>
    <t>INT-002</t>
  </si>
  <si>
    <t>INT-003</t>
  </si>
  <si>
    <t>INT-004</t>
  </si>
  <si>
    <t>INT-005</t>
  </si>
  <si>
    <t>INT-006</t>
  </si>
  <si>
    <t>INT-007</t>
  </si>
  <si>
    <t>INT-008</t>
  </si>
  <si>
    <t>INT-009</t>
  </si>
  <si>
    <t>INT-010</t>
  </si>
  <si>
    <t>INT-011</t>
  </si>
  <si>
    <t>INT-012</t>
  </si>
  <si>
    <t>INT-013</t>
  </si>
  <si>
    <t>NVMe SSD</t>
  </si>
  <si>
    <t>Display Port Cable</t>
  </si>
  <si>
    <t>Aluminium Strut Profile 2m</t>
  </si>
  <si>
    <t>M5 T-Slot Nut (bags of 10)</t>
  </si>
  <si>
    <t>M4 T-Slot Nut (bags of 10)</t>
  </si>
  <si>
    <t xml:space="preserve">12V DC-DC Converter </t>
  </si>
  <si>
    <t xml:space="preserve">3.2 Gen USB-C to USB-C </t>
  </si>
  <si>
    <t>Wireless Keyboard &amp; Mouse</t>
  </si>
  <si>
    <t>Mouser Electronics</t>
  </si>
  <si>
    <t>Farnell</t>
  </si>
  <si>
    <t>Tuda Grass</t>
  </si>
  <si>
    <t>Super Alkaline AA Batteries (box of 24)</t>
  </si>
  <si>
    <t>University Stores</t>
  </si>
  <si>
    <t>INT-014</t>
  </si>
  <si>
    <t>AA 1.5V Batteries (box of 10)</t>
  </si>
  <si>
    <t>AAA 1.5V Batteries (box of 10)</t>
  </si>
  <si>
    <t>INT-015</t>
  </si>
  <si>
    <t>INT-016</t>
  </si>
  <si>
    <t>INT-017</t>
  </si>
  <si>
    <t>INT-018</t>
  </si>
  <si>
    <t>INT-019</t>
  </si>
  <si>
    <t>INT-020</t>
  </si>
  <si>
    <t>INT-021</t>
  </si>
  <si>
    <t>INT-022</t>
  </si>
  <si>
    <t>University Workshop</t>
  </si>
  <si>
    <t>INT-023</t>
  </si>
  <si>
    <t>INT-024</t>
  </si>
  <si>
    <t>Camera Mount</t>
  </si>
  <si>
    <t>Personalised Team Hoodies</t>
  </si>
  <si>
    <t>CNT-001</t>
  </si>
  <si>
    <t>MEng Team 7</t>
  </si>
  <si>
    <t>Bill of Materials</t>
  </si>
  <si>
    <t>Mounted on PickBot (1)</t>
  </si>
  <si>
    <t>Connected to arm (1)</t>
  </si>
  <si>
    <t>PickBot (1)</t>
  </si>
  <si>
    <t>Soldered on AdaFruit Breakout Boards (3)</t>
  </si>
  <si>
    <t>PickBot (1) and BinBot (1)</t>
  </si>
  <si>
    <t>Connected to Jetson Orin Nanos SSD Slots (2)</t>
  </si>
  <si>
    <t>Hardware Box 2 (2)</t>
  </si>
  <si>
    <t>Mounted on PickBot and BinBot (1)</t>
  </si>
  <si>
    <t xml:space="preserve">Connected between Camera and Jetson on PickBot (1)
</t>
  </si>
  <si>
    <t>Connected between DC-DC Converter and 
Jetson Orin Nano (PickBot and BinBot)</t>
  </si>
  <si>
    <t>Disposed after use</t>
  </si>
  <si>
    <t>Scout Mini remote controllers</t>
  </si>
  <si>
    <t>Wireless Keyboards &amp; Mouses</t>
  </si>
  <si>
    <t>HDMI Male to Display Port Male Adapter Cables</t>
  </si>
  <si>
    <t>7 (box of 10)</t>
  </si>
  <si>
    <t>Double Sided Tape</t>
  </si>
  <si>
    <t xml:space="preserve">Amentum Robotics Lab </t>
  </si>
  <si>
    <t>With Matt Goundry</t>
  </si>
  <si>
    <t xml:space="preserve">Mounted on PickBot and BinBot </t>
  </si>
  <si>
    <t>one profile was cut to the required
sizes for mounting, other profile is in 
the corner of MEng Space 10</t>
  </si>
  <si>
    <t>Communications Box</t>
  </si>
  <si>
    <t>Communications box (1), BinBot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</si>
</sst>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61616"/>
      <name val="Calibri"/>
      <family val="2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161616"/>
      <name val="Inherit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8" fontId="7" fillId="2" borderId="1" xfId="0" applyNumberFormat="1" applyFont="1" applyFill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1" fontId="0" fillId="2" borderId="1" xfId="0" applyNumberFormat="1" applyFill="1" applyBorder="1"/>
    <xf numFmtId="49" fontId="0" fillId="2" borderId="1" xfId="0" applyNumberFormat="1" applyFill="1" applyBorder="1"/>
    <xf numFmtId="14" fontId="0" fillId="2" borderId="1" xfId="0" applyNumberFormat="1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6" fillId="2" borderId="1" xfId="0" applyFont="1" applyFill="1" applyBorder="1"/>
    <xf numFmtId="1" fontId="0" fillId="3" borderId="1" xfId="0" applyNumberFormat="1" applyFill="1" applyBorder="1"/>
    <xf numFmtId="0" fontId="7" fillId="3" borderId="1" xfId="0" applyFont="1" applyFill="1" applyBorder="1" applyAlignment="1">
      <alignment wrapText="1"/>
    </xf>
    <xf numFmtId="49" fontId="0" fillId="3" borderId="1" xfId="0" applyNumberFormat="1" applyFill="1" applyBorder="1"/>
    <xf numFmtId="14" fontId="0" fillId="3" borderId="1" xfId="0" applyNumberFormat="1" applyFill="1" applyBorder="1"/>
    <xf numFmtId="2" fontId="0" fillId="3" borderId="1" xfId="0" applyNumberFormat="1" applyFill="1" applyBorder="1"/>
    <xf numFmtId="8" fontId="7" fillId="3" borderId="1" xfId="0" applyNumberFormat="1" applyFont="1" applyFill="1" applyBorder="1"/>
    <xf numFmtId="164" fontId="0" fillId="3" borderId="1" xfId="0" applyNumberFormat="1" applyFill="1" applyBorder="1"/>
    <xf numFmtId="0" fontId="8" fillId="2" borderId="1" xfId="0" applyFont="1" applyFill="1" applyBorder="1" applyAlignment="1">
      <alignment vertical="center" wrapText="1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5" fillId="7" borderId="0" xfId="0" applyFont="1" applyFill="1"/>
    <xf numFmtId="49" fontId="0" fillId="6" borderId="0" xfId="0" applyNumberFormat="1" applyFill="1"/>
    <xf numFmtId="0" fontId="7" fillId="6" borderId="1" xfId="0" applyFont="1" applyFill="1" applyBorder="1"/>
    <xf numFmtId="0" fontId="9" fillId="5" borderId="2" xfId="0" applyFont="1" applyFill="1" applyBorder="1"/>
    <xf numFmtId="0" fontId="0" fillId="0" borderId="1" xfId="0" applyBorder="1"/>
    <xf numFmtId="0" fontId="0" fillId="8" borderId="1" xfId="0" applyFill="1" applyBorder="1"/>
    <xf numFmtId="0" fontId="9" fillId="5" borderId="3" xfId="0" applyFont="1" applyFill="1" applyBorder="1"/>
    <xf numFmtId="0" fontId="0" fillId="0" borderId="1" xfId="0" applyBorder="1" applyAlignment="1">
      <alignment horizontal="right"/>
    </xf>
    <xf numFmtId="0" fontId="0" fillId="6" borderId="1" xfId="0" applyFill="1" applyBorder="1"/>
    <xf numFmtId="0" fontId="0" fillId="0" borderId="1" xfId="0" applyBorder="1" applyAlignment="1">
      <alignment wrapText="1"/>
    </xf>
    <xf numFmtId="0" fontId="0" fillId="8" borderId="1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1" fontId="0" fillId="2" borderId="5" xfId="0" applyNumberFormat="1" applyFill="1" applyBorder="1"/>
    <xf numFmtId="49" fontId="0" fillId="2" borderId="5" xfId="0" applyNumberFormat="1" applyFill="1" applyBorder="1"/>
    <xf numFmtId="14" fontId="0" fillId="2" borderId="5" xfId="0" applyNumberFormat="1" applyFill="1" applyBorder="1"/>
    <xf numFmtId="2" fontId="0" fillId="2" borderId="5" xfId="0" applyNumberFormat="1" applyFill="1" applyBorder="1"/>
    <xf numFmtId="0" fontId="0" fillId="2" borderId="5" xfId="0" applyFill="1" applyBorder="1"/>
    <xf numFmtId="164" fontId="0" fillId="2" borderId="5" xfId="0" applyNumberForma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£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31AF8-7E4C-4104-A769-969D48EF7352}" name="Table1" displayName="Table1" ref="A3:G47" totalsRowShown="0" headerRowDxfId="8">
  <autoFilter ref="A3:G47" xr:uid="{E8731AF8-7E4C-4104-A769-969D48EF7352}"/>
  <tableColumns count="7">
    <tableColumn id="1" xr3:uid="{DACCB14E-221C-484C-B0B5-2565C8842D13}" name="Item ID" dataDxfId="7"/>
    <tableColumn id="2" xr3:uid="{4953407C-3CC2-44AA-AF10-65A63FED3F1A}" name="Item Description" dataDxfId="6"/>
    <tableColumn id="3" xr3:uid="{A78EA298-FA1B-4E73-A408-A26D8F485A29}" name="Category/Sub-team" dataDxfId="5"/>
    <tableColumn id="4" xr3:uid="{A4C6E507-6F15-4218-BD6B-8BB99B1D5A51}" name="Order Date" dataDxfId="4"/>
    <tableColumn id="5" xr3:uid="{61E43511-6307-469B-84E7-C1A12C2F1341}" name="Quantity" dataDxfId="3"/>
    <tableColumn id="6" xr3:uid="{04BC7CF3-4863-4814-94B5-D847E4B6E63D}" name="Item Cost (exc. VAT)" dataDxfId="2"/>
    <tableColumn id="7" xr3:uid="{7249BEB6-3FFF-4B32-9125-2A8554B6B85A}" name="Total Cost (exc. VAT)" dataDxfId="1">
      <calculatedColumnFormula>E4*F4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3E96E-2BCA-4879-8327-A6A68A4A386C}" name="Table2" displayName="Table2" ref="A3:E53" totalsRowShown="0" headerRowDxfId="0">
  <autoFilter ref="A3:E53" xr:uid="{86F74F23-D3EE-4E8E-B4A4-7B3A575F1FEF}"/>
  <tableColumns count="5">
    <tableColumn id="1" xr3:uid="{C5682518-3FB7-4319-A4E4-7D06AA1E68EC}" name="Equipment ID"/>
    <tableColumn id="2" xr3:uid="{E9004BC8-7E8C-438F-8936-6D4392637E0C}" name="Equipment Description"/>
    <tableColumn id="7" xr3:uid="{5B1530A6-3C87-4C30-AC7B-D1739669C363}" name="Quantity"/>
    <tableColumn id="3" xr3:uid="{ED6AD2A1-FB03-4D23-9E1E-8641362350E1}" name="Current Location"/>
    <tableColumn id="4" xr3:uid="{BA801DFB-AC36-40E8-A338-D496533443A8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7444-558F-4360-B5BA-F1C1C0C7880B}">
  <sheetPr codeName="Sheet1"/>
  <dimension ref="A1:J53"/>
  <sheetViews>
    <sheetView topLeftCell="B21" zoomScale="96" zoomScaleNormal="70" workbookViewId="0">
      <selection activeCell="B47" sqref="B47"/>
    </sheetView>
  </sheetViews>
  <sheetFormatPr defaultRowHeight="14.25"/>
  <cols>
    <col min="1" max="1" width="15.9296875" bestFit="1" customWidth="1"/>
    <col min="2" max="2" width="117.46484375" customWidth="1"/>
    <col min="3" max="3" width="20.1328125" bestFit="1" customWidth="1"/>
    <col min="4" max="4" width="16.73046875" customWidth="1"/>
    <col min="5" max="5" width="11.1328125" bestFit="1" customWidth="1"/>
    <col min="6" max="6" width="21.1328125" bestFit="1" customWidth="1"/>
    <col min="7" max="7" width="21.33203125" bestFit="1" customWidth="1"/>
  </cols>
  <sheetData>
    <row r="1" spans="1:10" ht="18">
      <c r="A1" s="6" t="s">
        <v>0</v>
      </c>
    </row>
    <row r="2" spans="1:10" ht="18">
      <c r="A2" s="6" t="s">
        <v>1</v>
      </c>
    </row>
    <row r="3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I3" s="3"/>
      <c r="J3" t="s">
        <v>9</v>
      </c>
    </row>
    <row r="4" spans="1:10">
      <c r="A4" s="12">
        <v>1</v>
      </c>
      <c r="B4" s="13" t="s">
        <v>10</v>
      </c>
      <c r="C4" s="13" t="s">
        <v>11</v>
      </c>
      <c r="D4" s="14">
        <v>45953</v>
      </c>
      <c r="E4" s="15">
        <v>2</v>
      </c>
      <c r="F4" s="16">
        <v>37</v>
      </c>
      <c r="G4" s="16">
        <f>E4*F4</f>
        <v>74</v>
      </c>
      <c r="I4" s="4"/>
      <c r="J4" t="s">
        <v>12</v>
      </c>
    </row>
    <row r="5" spans="1:10">
      <c r="A5" s="12">
        <v>2</v>
      </c>
      <c r="B5" s="17" t="s">
        <v>13</v>
      </c>
      <c r="C5" s="13" t="s">
        <v>59</v>
      </c>
      <c r="D5" s="14">
        <v>46002</v>
      </c>
      <c r="E5" s="15">
        <v>2</v>
      </c>
      <c r="F5" s="16">
        <v>16.27</v>
      </c>
      <c r="G5" s="16">
        <f t="shared" ref="G5:G32" si="0">E5*F5</f>
        <v>32.54</v>
      </c>
      <c r="I5" s="2"/>
      <c r="J5" t="s">
        <v>14</v>
      </c>
    </row>
    <row r="6" spans="1:10">
      <c r="A6" s="12">
        <v>3</v>
      </c>
      <c r="B6" s="17" t="s">
        <v>15</v>
      </c>
      <c r="C6" s="13" t="s">
        <v>59</v>
      </c>
      <c r="D6" s="14">
        <v>46002</v>
      </c>
      <c r="E6" s="15">
        <v>2</v>
      </c>
      <c r="F6" s="16">
        <v>4.41</v>
      </c>
      <c r="G6" s="16">
        <f t="shared" si="0"/>
        <v>8.82</v>
      </c>
    </row>
    <row r="7" spans="1:10">
      <c r="A7" s="12">
        <v>4</v>
      </c>
      <c r="B7" s="17" t="s">
        <v>16</v>
      </c>
      <c r="C7" s="13" t="s">
        <v>17</v>
      </c>
      <c r="D7" s="14">
        <v>46002</v>
      </c>
      <c r="E7" s="15">
        <v>1</v>
      </c>
      <c r="F7" s="16">
        <v>24.96</v>
      </c>
      <c r="G7" s="16">
        <f t="shared" si="0"/>
        <v>24.96</v>
      </c>
    </row>
    <row r="8" spans="1:10">
      <c r="A8" s="12">
        <v>5</v>
      </c>
      <c r="B8" s="17" t="s">
        <v>18</v>
      </c>
      <c r="C8" s="13" t="s">
        <v>11</v>
      </c>
      <c r="D8" s="14">
        <v>46002</v>
      </c>
      <c r="E8" s="15">
        <v>2</v>
      </c>
      <c r="F8" s="16">
        <v>5.71</v>
      </c>
      <c r="G8" s="16">
        <f t="shared" si="0"/>
        <v>11.42</v>
      </c>
    </row>
    <row r="9" spans="1:10">
      <c r="A9" s="12">
        <v>6</v>
      </c>
      <c r="B9" s="13" t="s">
        <v>19</v>
      </c>
      <c r="C9" s="13" t="s">
        <v>59</v>
      </c>
      <c r="D9" s="14">
        <v>46062</v>
      </c>
      <c r="E9" s="15">
        <v>1</v>
      </c>
      <c r="F9" s="16">
        <v>18.324999999999999</v>
      </c>
      <c r="G9" s="16">
        <f t="shared" si="0"/>
        <v>18.324999999999999</v>
      </c>
    </row>
    <row r="10" spans="1:10">
      <c r="A10" s="12">
        <v>7</v>
      </c>
      <c r="B10" s="13" t="s">
        <v>20</v>
      </c>
      <c r="C10" s="13" t="s">
        <v>11</v>
      </c>
      <c r="D10" s="14">
        <v>46058</v>
      </c>
      <c r="E10" s="15">
        <v>2</v>
      </c>
      <c r="F10" s="16">
        <v>29.79</v>
      </c>
      <c r="G10" s="16">
        <f t="shared" si="0"/>
        <v>59.58</v>
      </c>
    </row>
    <row r="11" spans="1:10">
      <c r="A11" s="12">
        <v>8</v>
      </c>
      <c r="B11" s="13" t="s">
        <v>21</v>
      </c>
      <c r="C11" s="13" t="s">
        <v>11</v>
      </c>
      <c r="D11" s="14">
        <v>46058</v>
      </c>
      <c r="E11" s="15">
        <v>3</v>
      </c>
      <c r="F11" s="16">
        <v>5.9</v>
      </c>
      <c r="G11" s="16">
        <f t="shared" si="0"/>
        <v>17.700000000000003</v>
      </c>
    </row>
    <row r="12" spans="1:10">
      <c r="A12" s="12">
        <v>9</v>
      </c>
      <c r="B12" s="13" t="s">
        <v>22</v>
      </c>
      <c r="C12" s="13" t="s">
        <v>11</v>
      </c>
      <c r="D12" s="14">
        <v>46058</v>
      </c>
      <c r="E12" s="15">
        <v>3</v>
      </c>
      <c r="F12" s="16">
        <v>5.9</v>
      </c>
      <c r="G12" s="16">
        <f t="shared" si="0"/>
        <v>17.700000000000003</v>
      </c>
    </row>
    <row r="13" spans="1:10">
      <c r="A13" s="12">
        <v>10</v>
      </c>
      <c r="B13" s="13" t="s">
        <v>23</v>
      </c>
      <c r="C13" s="13" t="s">
        <v>59</v>
      </c>
      <c r="D13" s="14">
        <v>46058</v>
      </c>
      <c r="E13" s="15">
        <v>1</v>
      </c>
      <c r="F13" s="17">
        <v>4.41</v>
      </c>
      <c r="G13" s="16">
        <f t="shared" si="0"/>
        <v>4.41</v>
      </c>
    </row>
    <row r="14" spans="1:10">
      <c r="A14" s="12">
        <v>11</v>
      </c>
      <c r="B14" s="13" t="s">
        <v>24</v>
      </c>
      <c r="C14" s="13" t="s">
        <v>17</v>
      </c>
      <c r="D14" s="14">
        <v>46058</v>
      </c>
      <c r="E14" s="15">
        <v>2</v>
      </c>
      <c r="F14" s="17">
        <v>68.459999999999994</v>
      </c>
      <c r="G14" s="16">
        <f t="shared" si="0"/>
        <v>136.91999999999999</v>
      </c>
    </row>
    <row r="15" spans="1:10">
      <c r="A15" s="12">
        <v>12</v>
      </c>
      <c r="B15" s="7" t="s">
        <v>25</v>
      </c>
      <c r="C15" s="13" t="s">
        <v>11</v>
      </c>
      <c r="D15" s="14">
        <v>46084</v>
      </c>
      <c r="E15" s="15">
        <v>2</v>
      </c>
      <c r="F15" s="7">
        <v>18.34</v>
      </c>
      <c r="G15" s="16">
        <f t="shared" si="0"/>
        <v>36.68</v>
      </c>
    </row>
    <row r="16" spans="1:10">
      <c r="A16" s="12">
        <v>13</v>
      </c>
      <c r="B16" s="7" t="s">
        <v>26</v>
      </c>
      <c r="C16" s="13" t="s">
        <v>11</v>
      </c>
      <c r="D16" s="14">
        <v>46084</v>
      </c>
      <c r="E16" s="15">
        <v>2</v>
      </c>
      <c r="F16" s="7">
        <v>1.31</v>
      </c>
      <c r="G16" s="16">
        <f t="shared" si="0"/>
        <v>2.62</v>
      </c>
    </row>
    <row r="17" spans="1:7">
      <c r="A17" s="12">
        <v>14</v>
      </c>
      <c r="B17" s="7" t="s">
        <v>27</v>
      </c>
      <c r="C17" s="13" t="s">
        <v>11</v>
      </c>
      <c r="D17" s="14">
        <v>46084</v>
      </c>
      <c r="E17" s="15">
        <v>2</v>
      </c>
      <c r="F17" s="7">
        <v>1.43</v>
      </c>
      <c r="G17" s="16">
        <f t="shared" si="0"/>
        <v>2.86</v>
      </c>
    </row>
    <row r="18" spans="1:7">
      <c r="A18" s="12">
        <v>15</v>
      </c>
      <c r="B18" s="18" t="s">
        <v>28</v>
      </c>
      <c r="C18" s="13" t="s">
        <v>11</v>
      </c>
      <c r="D18" s="14">
        <v>46084</v>
      </c>
      <c r="E18" s="15">
        <v>2</v>
      </c>
      <c r="F18" s="7">
        <v>3.36</v>
      </c>
      <c r="G18" s="16">
        <f t="shared" si="0"/>
        <v>6.72</v>
      </c>
    </row>
    <row r="19" spans="1:7">
      <c r="A19" s="12">
        <v>16</v>
      </c>
      <c r="B19" s="7" t="s">
        <v>29</v>
      </c>
      <c r="C19" s="13" t="s">
        <v>11</v>
      </c>
      <c r="D19" s="14">
        <v>46084</v>
      </c>
      <c r="E19" s="15">
        <v>2</v>
      </c>
      <c r="F19" s="7">
        <v>1.42</v>
      </c>
      <c r="G19" s="16">
        <f t="shared" si="0"/>
        <v>2.84</v>
      </c>
    </row>
    <row r="20" spans="1:7">
      <c r="A20" s="12">
        <v>17</v>
      </c>
      <c r="B20" s="7" t="s">
        <v>30</v>
      </c>
      <c r="C20" s="13" t="s">
        <v>11</v>
      </c>
      <c r="D20" s="14">
        <v>46084</v>
      </c>
      <c r="E20" s="15">
        <v>2</v>
      </c>
      <c r="F20" s="7">
        <v>14.98</v>
      </c>
      <c r="G20" s="16">
        <f t="shared" si="0"/>
        <v>29.96</v>
      </c>
    </row>
    <row r="21" spans="1:7">
      <c r="A21" s="12">
        <v>18</v>
      </c>
      <c r="B21" s="17" t="s">
        <v>13</v>
      </c>
      <c r="C21" s="13" t="s">
        <v>59</v>
      </c>
      <c r="D21" s="14">
        <v>46084</v>
      </c>
      <c r="E21" s="15">
        <v>1</v>
      </c>
      <c r="F21" s="17">
        <v>14.71</v>
      </c>
      <c r="G21" s="16">
        <f t="shared" si="0"/>
        <v>14.71</v>
      </c>
    </row>
    <row r="22" spans="1:7">
      <c r="A22" s="12">
        <v>19</v>
      </c>
      <c r="B22" s="19" t="s">
        <v>31</v>
      </c>
      <c r="C22" s="13" t="s">
        <v>58</v>
      </c>
      <c r="D22" s="14">
        <v>46085</v>
      </c>
      <c r="E22" s="15">
        <v>1</v>
      </c>
      <c r="F22" s="17">
        <v>90.84</v>
      </c>
      <c r="G22" s="16">
        <f t="shared" si="0"/>
        <v>90.84</v>
      </c>
    </row>
    <row r="23" spans="1:7">
      <c r="A23" s="12">
        <v>20</v>
      </c>
      <c r="B23" s="20" t="s">
        <v>32</v>
      </c>
      <c r="C23" s="13" t="s">
        <v>58</v>
      </c>
      <c r="D23" s="14">
        <v>46091</v>
      </c>
      <c r="E23" s="15">
        <v>2</v>
      </c>
      <c r="F23" s="7">
        <v>12.86</v>
      </c>
      <c r="G23" s="16">
        <f t="shared" si="0"/>
        <v>25.72</v>
      </c>
    </row>
    <row r="24" spans="1:7">
      <c r="A24" s="12">
        <v>21</v>
      </c>
      <c r="B24" s="8" t="s">
        <v>33</v>
      </c>
      <c r="C24" s="13" t="s">
        <v>58</v>
      </c>
      <c r="D24" s="14">
        <v>46091</v>
      </c>
      <c r="E24" s="15">
        <v>2</v>
      </c>
      <c r="F24" s="7">
        <v>8.4</v>
      </c>
      <c r="G24" s="16">
        <f t="shared" si="0"/>
        <v>16.8</v>
      </c>
    </row>
    <row r="25" spans="1:7">
      <c r="A25" s="12">
        <v>22</v>
      </c>
      <c r="B25" s="7" t="s">
        <v>34</v>
      </c>
      <c r="C25" s="13" t="s">
        <v>58</v>
      </c>
      <c r="D25" s="14">
        <v>46091</v>
      </c>
      <c r="E25" s="15">
        <v>3</v>
      </c>
      <c r="F25" s="7">
        <v>3.23</v>
      </c>
      <c r="G25" s="16">
        <f t="shared" si="0"/>
        <v>9.69</v>
      </c>
    </row>
    <row r="26" spans="1:7">
      <c r="A26" s="12">
        <v>23</v>
      </c>
      <c r="B26" s="7" t="s">
        <v>35</v>
      </c>
      <c r="C26" s="13" t="s">
        <v>11</v>
      </c>
      <c r="D26" s="14">
        <v>46091</v>
      </c>
      <c r="E26" s="15">
        <v>4</v>
      </c>
      <c r="F26" s="7">
        <v>3.77</v>
      </c>
      <c r="G26" s="16">
        <f t="shared" si="0"/>
        <v>15.08</v>
      </c>
    </row>
    <row r="27" spans="1:7">
      <c r="A27" s="12">
        <v>24</v>
      </c>
      <c r="B27" s="7" t="s">
        <v>36</v>
      </c>
      <c r="C27" s="13" t="s">
        <v>11</v>
      </c>
      <c r="D27" s="14">
        <v>46091</v>
      </c>
      <c r="E27" s="15">
        <v>1</v>
      </c>
      <c r="F27" s="17">
        <v>5.9</v>
      </c>
      <c r="G27" s="16">
        <f t="shared" si="0"/>
        <v>5.9</v>
      </c>
    </row>
    <row r="28" spans="1:7">
      <c r="A28" s="12">
        <v>25</v>
      </c>
      <c r="B28" s="7" t="s">
        <v>37</v>
      </c>
      <c r="C28" s="13" t="s">
        <v>11</v>
      </c>
      <c r="D28" s="14">
        <v>46091</v>
      </c>
      <c r="E28" s="15">
        <v>2</v>
      </c>
      <c r="F28" s="7">
        <v>2.3199999999999998</v>
      </c>
      <c r="G28" s="16">
        <f t="shared" si="0"/>
        <v>4.6399999999999997</v>
      </c>
    </row>
    <row r="29" spans="1:7">
      <c r="A29" s="12">
        <v>26</v>
      </c>
      <c r="B29" s="13" t="s">
        <v>38</v>
      </c>
      <c r="C29" s="13" t="s">
        <v>11</v>
      </c>
      <c r="D29" s="14">
        <v>46104</v>
      </c>
      <c r="E29" s="15">
        <v>1</v>
      </c>
      <c r="F29" s="17">
        <v>40.42</v>
      </c>
      <c r="G29" s="16">
        <f t="shared" si="0"/>
        <v>40.42</v>
      </c>
    </row>
    <row r="30" spans="1:7">
      <c r="A30" s="21">
        <v>27</v>
      </c>
      <c r="B30" s="22" t="s">
        <v>44</v>
      </c>
      <c r="C30" s="23" t="s">
        <v>58</v>
      </c>
      <c r="D30" s="24">
        <v>46126</v>
      </c>
      <c r="E30" s="25">
        <v>1</v>
      </c>
      <c r="F30" s="26">
        <v>18.190000000000001</v>
      </c>
      <c r="G30" s="27">
        <f t="shared" si="0"/>
        <v>18.190000000000001</v>
      </c>
    </row>
    <row r="31" spans="1:7">
      <c r="A31" s="12">
        <v>28</v>
      </c>
      <c r="B31" s="10" t="s">
        <v>45</v>
      </c>
      <c r="C31" s="13" t="s">
        <v>11</v>
      </c>
      <c r="D31" s="14">
        <v>46126</v>
      </c>
      <c r="E31" s="15">
        <v>1</v>
      </c>
      <c r="F31" s="9">
        <v>9.34</v>
      </c>
      <c r="G31" s="16">
        <f t="shared" si="0"/>
        <v>9.34</v>
      </c>
    </row>
    <row r="32" spans="1:7">
      <c r="A32" s="12">
        <v>29</v>
      </c>
      <c r="B32" s="10" t="s">
        <v>46</v>
      </c>
      <c r="C32" s="13" t="s">
        <v>58</v>
      </c>
      <c r="D32" s="14">
        <v>46126</v>
      </c>
      <c r="E32" s="15">
        <v>1</v>
      </c>
      <c r="F32" s="9">
        <v>6.67</v>
      </c>
      <c r="G32" s="16">
        <f t="shared" si="0"/>
        <v>6.67</v>
      </c>
    </row>
    <row r="33" spans="1:7">
      <c r="A33" s="12">
        <v>30</v>
      </c>
      <c r="B33" s="28" t="s">
        <v>47</v>
      </c>
      <c r="C33" s="13" t="s">
        <v>58</v>
      </c>
      <c r="D33" s="14">
        <v>46126</v>
      </c>
      <c r="E33" s="15">
        <v>1</v>
      </c>
      <c r="F33" s="9">
        <v>15.05</v>
      </c>
      <c r="G33" s="16">
        <f t="shared" ref="G33:G41" si="1">E33*F33</f>
        <v>15.05</v>
      </c>
    </row>
    <row r="34" spans="1:7">
      <c r="A34" s="12">
        <v>31</v>
      </c>
      <c r="B34" s="10" t="s">
        <v>48</v>
      </c>
      <c r="C34" s="13" t="s">
        <v>59</v>
      </c>
      <c r="D34" s="14">
        <v>46136</v>
      </c>
      <c r="E34" s="15">
        <v>3</v>
      </c>
      <c r="F34" s="9">
        <v>4.2</v>
      </c>
      <c r="G34" s="16">
        <f t="shared" si="1"/>
        <v>12.600000000000001</v>
      </c>
    </row>
    <row r="35" spans="1:7">
      <c r="A35" s="12">
        <v>32</v>
      </c>
      <c r="B35" s="10" t="s">
        <v>49</v>
      </c>
      <c r="C35" s="13" t="s">
        <v>59</v>
      </c>
      <c r="D35" s="14">
        <v>46136</v>
      </c>
      <c r="E35" s="15">
        <v>2</v>
      </c>
      <c r="F35" s="9">
        <v>3.56</v>
      </c>
      <c r="G35" s="16">
        <f t="shared" si="1"/>
        <v>7.12</v>
      </c>
    </row>
    <row r="36" spans="1:7">
      <c r="A36" s="12">
        <v>33</v>
      </c>
      <c r="B36" s="11" t="s">
        <v>50</v>
      </c>
      <c r="C36" s="13" t="s">
        <v>59</v>
      </c>
      <c r="D36" s="14">
        <v>46136</v>
      </c>
      <c r="E36" s="15">
        <v>2</v>
      </c>
      <c r="F36" s="9">
        <v>22.31</v>
      </c>
      <c r="G36" s="16">
        <f t="shared" si="1"/>
        <v>44.62</v>
      </c>
    </row>
    <row r="37" spans="1:7">
      <c r="A37" s="12">
        <v>34</v>
      </c>
      <c r="B37" s="11" t="s">
        <v>51</v>
      </c>
      <c r="C37" s="13" t="s">
        <v>59</v>
      </c>
      <c r="D37" s="14">
        <v>46136</v>
      </c>
      <c r="E37" s="15">
        <v>1</v>
      </c>
      <c r="F37" s="9">
        <v>33.46</v>
      </c>
      <c r="G37" s="16">
        <f t="shared" si="1"/>
        <v>33.46</v>
      </c>
    </row>
    <row r="38" spans="1:7">
      <c r="A38" s="12">
        <v>35</v>
      </c>
      <c r="B38" s="11" t="s">
        <v>52</v>
      </c>
      <c r="C38" s="13" t="s">
        <v>11</v>
      </c>
      <c r="D38" s="14">
        <v>46136</v>
      </c>
      <c r="E38" s="15">
        <v>1</v>
      </c>
      <c r="F38" s="9">
        <v>2.06</v>
      </c>
      <c r="G38" s="16">
        <f t="shared" si="1"/>
        <v>2.06</v>
      </c>
    </row>
    <row r="39" spans="1:7">
      <c r="A39" s="12">
        <v>36</v>
      </c>
      <c r="B39" s="10" t="s">
        <v>54</v>
      </c>
      <c r="C39" s="13" t="s">
        <v>60</v>
      </c>
      <c r="D39" s="14">
        <v>46140</v>
      </c>
      <c r="E39" s="15">
        <v>1</v>
      </c>
      <c r="F39" s="9">
        <v>4.99</v>
      </c>
      <c r="G39" s="16">
        <f t="shared" si="1"/>
        <v>4.99</v>
      </c>
    </row>
    <row r="40" spans="1:7">
      <c r="A40" s="12">
        <v>37</v>
      </c>
      <c r="B40" s="28" t="s">
        <v>55</v>
      </c>
      <c r="C40" s="13" t="s">
        <v>11</v>
      </c>
      <c r="D40" s="14">
        <v>46140</v>
      </c>
      <c r="E40" s="15">
        <v>1</v>
      </c>
      <c r="F40" s="9">
        <v>40.83</v>
      </c>
      <c r="G40" s="16">
        <f t="shared" si="1"/>
        <v>40.83</v>
      </c>
    </row>
    <row r="41" spans="1:7">
      <c r="A41" s="12">
        <v>38</v>
      </c>
      <c r="B41" s="13" t="s">
        <v>56</v>
      </c>
      <c r="C41" s="13" t="s">
        <v>11</v>
      </c>
      <c r="D41" s="14">
        <v>46154</v>
      </c>
      <c r="E41" s="15">
        <v>3</v>
      </c>
      <c r="F41" s="17">
        <v>2.69</v>
      </c>
      <c r="G41" s="16">
        <f t="shared" si="1"/>
        <v>8.07</v>
      </c>
    </row>
    <row r="42" spans="1:7">
      <c r="A42" s="12">
        <v>39</v>
      </c>
      <c r="B42" s="13" t="s">
        <v>229</v>
      </c>
      <c r="C42" s="13" t="s">
        <v>11</v>
      </c>
      <c r="D42" s="14">
        <v>46172</v>
      </c>
      <c r="E42" s="15">
        <v>7</v>
      </c>
      <c r="F42" s="17">
        <v>28.08</v>
      </c>
      <c r="G42" s="16">
        <f t="shared" ref="G42:G44" si="2">E42*F42</f>
        <v>196.56</v>
      </c>
    </row>
    <row r="43" spans="1:7">
      <c r="A43" s="12">
        <v>40</v>
      </c>
      <c r="B43" s="13" t="s">
        <v>107</v>
      </c>
      <c r="C43" s="13" t="s">
        <v>11</v>
      </c>
      <c r="D43" s="14">
        <v>46174</v>
      </c>
      <c r="E43" s="15">
        <v>1</v>
      </c>
      <c r="F43" s="17">
        <v>2.69</v>
      </c>
      <c r="G43" s="16">
        <f t="shared" si="2"/>
        <v>2.69</v>
      </c>
    </row>
    <row r="44" spans="1:7">
      <c r="A44" s="12">
        <v>41</v>
      </c>
      <c r="B44" s="13" t="s">
        <v>56</v>
      </c>
      <c r="C44" s="13" t="s">
        <v>11</v>
      </c>
      <c r="D44" s="14">
        <v>46175</v>
      </c>
      <c r="E44" s="15">
        <v>2</v>
      </c>
      <c r="F44" s="17">
        <v>2.69</v>
      </c>
      <c r="G44" s="16">
        <f t="shared" si="2"/>
        <v>5.38</v>
      </c>
    </row>
    <row r="45" spans="1:7">
      <c r="A45" s="47">
        <v>42</v>
      </c>
      <c r="B45" s="48" t="s">
        <v>246</v>
      </c>
      <c r="C45" s="48" t="s">
        <v>11</v>
      </c>
      <c r="D45" s="49">
        <v>46177</v>
      </c>
      <c r="E45" s="50">
        <v>2</v>
      </c>
      <c r="F45" s="51">
        <v>10.94</v>
      </c>
      <c r="G45" s="52">
        <f>E45*F45</f>
        <v>21.88</v>
      </c>
    </row>
    <row r="46" spans="1:7">
      <c r="A46" s="47">
        <v>43</v>
      </c>
      <c r="B46" s="13" t="s">
        <v>56</v>
      </c>
      <c r="C46" s="48" t="s">
        <v>11</v>
      </c>
      <c r="D46" s="49">
        <v>46182</v>
      </c>
      <c r="E46" s="50">
        <v>2</v>
      </c>
      <c r="F46" s="17">
        <v>2.69</v>
      </c>
      <c r="G46" s="52">
        <f>E46*F46</f>
        <v>5.38</v>
      </c>
    </row>
    <row r="47" spans="1:7">
      <c r="A47" s="47">
        <v>44</v>
      </c>
      <c r="B47" s="48" t="s">
        <v>248</v>
      </c>
      <c r="C47" s="48" t="s">
        <v>11</v>
      </c>
      <c r="D47" s="49">
        <v>46182</v>
      </c>
      <c r="E47" s="50">
        <v>1</v>
      </c>
      <c r="F47" s="51">
        <v>2.08</v>
      </c>
      <c r="G47" s="52">
        <f>E47*F47</f>
        <v>2.08</v>
      </c>
    </row>
    <row r="48" spans="1:7">
      <c r="F48" t="s">
        <v>8</v>
      </c>
      <c r="G48" s="1">
        <f>SUM(G4:G47)</f>
        <v>1148.8250000000005</v>
      </c>
    </row>
    <row r="49" spans="6:7">
      <c r="F49" t="s">
        <v>39</v>
      </c>
      <c r="G49" s="1">
        <f>G48*1.2</f>
        <v>1378.5900000000006</v>
      </c>
    </row>
    <row r="50" spans="6:7">
      <c r="F50" t="s">
        <v>57</v>
      </c>
      <c r="G50" s="1">
        <v>74.900000000000006</v>
      </c>
    </row>
    <row r="51" spans="6:7">
      <c r="F51" t="s">
        <v>43</v>
      </c>
      <c r="G51" s="1">
        <v>45.84</v>
      </c>
    </row>
    <row r="52" spans="6:7">
      <c r="F52" t="s">
        <v>40</v>
      </c>
      <c r="G52" s="1">
        <f>1650-G49-G51-G50</f>
        <v>150.66999999999939</v>
      </c>
    </row>
    <row r="53" spans="6:7">
      <c r="F53" t="s">
        <v>53</v>
      </c>
      <c r="G53" s="1">
        <f>G49+G50+G51</f>
        <v>1499.3300000000006</v>
      </c>
    </row>
  </sheetData>
  <pageMargins left="0.7" right="0.7" top="0.75" bottom="0.75" header="0.3" footer="0.3"/>
  <pageSetup paperSize="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E7BC1C-8246-43CC-B329-7983B4B644EE}">
          <x14:formula1>
            <xm:f>'Data Validation'!$A$2:$A$7</xm:f>
          </x14:formula1>
          <xm:sqref>C4:C47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792B-A549-46C5-B44E-98C938B74686}">
  <dimension ref="A1:E53"/>
  <sheetViews>
    <sheetView tabSelected="1" topLeftCell="B28" workbookViewId="0">
      <selection activeCell="E54" sqref="E54"/>
    </sheetView>
  </sheetViews>
  <sheetFormatPr defaultRowHeight="14.25"/>
  <cols>
    <col min="1" max="1" width="18" bestFit="1" customWidth="1"/>
    <col min="2" max="2" width="48" customWidth="1"/>
    <col min="3" max="3" width="45.73046875" customWidth="1"/>
    <col min="4" max="4" width="37.3984375" customWidth="1"/>
    <col min="5" max="5" width="31.59765625" bestFit="1" customWidth="1"/>
  </cols>
  <sheetData>
    <row r="1" spans="1:5" ht="18">
      <c r="A1" s="6" t="s">
        <v>66</v>
      </c>
    </row>
    <row r="2" spans="1:5" ht="18">
      <c r="A2" s="6" t="s">
        <v>65</v>
      </c>
    </row>
    <row r="3" spans="1:5">
      <c r="A3" s="5" t="s">
        <v>64</v>
      </c>
      <c r="B3" s="5" t="s">
        <v>63</v>
      </c>
      <c r="C3" s="5" t="s">
        <v>6</v>
      </c>
      <c r="D3" s="5" t="s">
        <v>62</v>
      </c>
      <c r="E3" s="5" t="s">
        <v>61</v>
      </c>
    </row>
    <row r="4" spans="1:5">
      <c r="A4" s="29">
        <v>1</v>
      </c>
      <c r="B4" s="30" t="s">
        <v>67</v>
      </c>
      <c r="C4">
        <v>2</v>
      </c>
      <c r="D4" t="s">
        <v>110</v>
      </c>
      <c r="E4" t="s">
        <v>120</v>
      </c>
    </row>
    <row r="5" spans="1:5">
      <c r="A5">
        <v>2</v>
      </c>
      <c r="B5" t="s">
        <v>68</v>
      </c>
      <c r="C5">
        <v>2</v>
      </c>
      <c r="D5" t="s">
        <v>112</v>
      </c>
    </row>
    <row r="6" spans="1:5">
      <c r="A6">
        <v>3</v>
      </c>
      <c r="B6" t="s">
        <v>168</v>
      </c>
      <c r="C6">
        <v>2</v>
      </c>
      <c r="D6" t="s">
        <v>169</v>
      </c>
    </row>
    <row r="7" spans="1:5">
      <c r="A7" s="29">
        <v>4</v>
      </c>
      <c r="B7" t="s">
        <v>69</v>
      </c>
      <c r="C7">
        <v>2</v>
      </c>
      <c r="D7" t="s">
        <v>111</v>
      </c>
    </row>
    <row r="8" spans="1:5">
      <c r="A8">
        <v>5</v>
      </c>
      <c r="B8" t="s">
        <v>70</v>
      </c>
      <c r="C8">
        <v>2</v>
      </c>
      <c r="D8" t="s">
        <v>112</v>
      </c>
      <c r="E8" t="s">
        <v>113</v>
      </c>
    </row>
    <row r="9" spans="1:5">
      <c r="A9">
        <v>6</v>
      </c>
      <c r="B9" t="s">
        <v>71</v>
      </c>
      <c r="C9">
        <v>1</v>
      </c>
      <c r="D9" t="s">
        <v>249</v>
      </c>
      <c r="E9" t="s">
        <v>250</v>
      </c>
    </row>
    <row r="10" spans="1:5">
      <c r="A10" s="29">
        <v>7</v>
      </c>
      <c r="B10" t="s">
        <v>72</v>
      </c>
      <c r="C10">
        <v>2</v>
      </c>
      <c r="D10" t="s">
        <v>111</v>
      </c>
    </row>
    <row r="11" spans="1:5">
      <c r="A11">
        <v>8</v>
      </c>
      <c r="B11" t="s">
        <v>73</v>
      </c>
      <c r="C11">
        <v>2</v>
      </c>
      <c r="D11" t="s">
        <v>111</v>
      </c>
    </row>
    <row r="12" spans="1:5" ht="42.75">
      <c r="A12">
        <v>9</v>
      </c>
      <c r="B12" t="s">
        <v>174</v>
      </c>
      <c r="C12">
        <v>2</v>
      </c>
      <c r="D12" t="s">
        <v>251</v>
      </c>
      <c r="E12" s="32" t="s">
        <v>252</v>
      </c>
    </row>
    <row r="13" spans="1:5">
      <c r="A13" s="29">
        <v>10</v>
      </c>
      <c r="B13" t="s">
        <v>74</v>
      </c>
      <c r="C13">
        <v>2</v>
      </c>
      <c r="D13" t="s">
        <v>114</v>
      </c>
      <c r="E13" t="s">
        <v>118</v>
      </c>
    </row>
    <row r="14" spans="1:5" ht="42.75">
      <c r="A14">
        <v>11</v>
      </c>
      <c r="B14" t="s">
        <v>75</v>
      </c>
      <c r="C14">
        <v>3</v>
      </c>
      <c r="D14" t="s">
        <v>115</v>
      </c>
      <c r="E14" s="32" t="s">
        <v>119</v>
      </c>
    </row>
    <row r="15" spans="1:5">
      <c r="A15">
        <v>12</v>
      </c>
      <c r="B15" t="s">
        <v>76</v>
      </c>
      <c r="C15">
        <v>3</v>
      </c>
      <c r="D15" t="s">
        <v>116</v>
      </c>
      <c r="E15" t="s">
        <v>117</v>
      </c>
    </row>
    <row r="16" spans="1:5">
      <c r="A16" s="29">
        <v>13</v>
      </c>
      <c r="B16" t="s">
        <v>77</v>
      </c>
      <c r="C16" s="31" t="s">
        <v>78</v>
      </c>
      <c r="D16" t="s">
        <v>120</v>
      </c>
      <c r="E16" t="s">
        <v>121</v>
      </c>
    </row>
    <row r="17" spans="1:5">
      <c r="A17">
        <v>14</v>
      </c>
      <c r="B17" t="s">
        <v>79</v>
      </c>
      <c r="C17" s="31" t="s">
        <v>80</v>
      </c>
      <c r="D17" t="s">
        <v>120</v>
      </c>
      <c r="E17" t="s">
        <v>121</v>
      </c>
    </row>
    <row r="18" spans="1:5">
      <c r="A18">
        <v>15</v>
      </c>
      <c r="B18" s="33" t="s">
        <v>31</v>
      </c>
      <c r="C18">
        <v>1</v>
      </c>
      <c r="D18" t="s">
        <v>122</v>
      </c>
    </row>
    <row r="19" spans="1:5">
      <c r="A19" s="29">
        <v>16</v>
      </c>
      <c r="B19" t="s">
        <v>81</v>
      </c>
      <c r="C19">
        <v>1</v>
      </c>
      <c r="D19" t="s">
        <v>125</v>
      </c>
      <c r="E19" t="s">
        <v>124</v>
      </c>
    </row>
    <row r="20" spans="1:5">
      <c r="A20">
        <v>17</v>
      </c>
      <c r="B20" t="s">
        <v>82</v>
      </c>
      <c r="C20">
        <v>2</v>
      </c>
      <c r="D20" t="s">
        <v>239</v>
      </c>
    </row>
    <row r="21" spans="1:5">
      <c r="A21">
        <v>18</v>
      </c>
      <c r="B21" s="34" t="s">
        <v>19</v>
      </c>
      <c r="C21">
        <v>1</v>
      </c>
      <c r="D21" t="s">
        <v>253</v>
      </c>
      <c r="E21" t="s">
        <v>124</v>
      </c>
    </row>
    <row r="22" spans="1:5">
      <c r="A22" s="29">
        <v>19</v>
      </c>
      <c r="B22" t="s">
        <v>83</v>
      </c>
      <c r="C22">
        <v>2</v>
      </c>
      <c r="D22" t="s">
        <v>111</v>
      </c>
    </row>
    <row r="23" spans="1:5">
      <c r="A23">
        <v>20</v>
      </c>
      <c r="B23" t="s">
        <v>84</v>
      </c>
      <c r="C23">
        <v>2</v>
      </c>
      <c r="D23" t="s">
        <v>123</v>
      </c>
      <c r="E23" t="s">
        <v>124</v>
      </c>
    </row>
    <row r="24" spans="1:5">
      <c r="A24">
        <v>21</v>
      </c>
      <c r="B24" t="s">
        <v>85</v>
      </c>
      <c r="C24">
        <v>2</v>
      </c>
      <c r="D24" t="s">
        <v>123</v>
      </c>
      <c r="E24" t="s">
        <v>124</v>
      </c>
    </row>
    <row r="25" spans="1:5" ht="42.75">
      <c r="A25" s="29">
        <v>22</v>
      </c>
      <c r="B25" t="s">
        <v>86</v>
      </c>
      <c r="C25">
        <v>4</v>
      </c>
      <c r="D25" s="32" t="s">
        <v>126</v>
      </c>
      <c r="E25" t="s">
        <v>127</v>
      </c>
    </row>
    <row r="26" spans="1:5" ht="28.5">
      <c r="A26">
        <v>23</v>
      </c>
      <c r="B26" t="s">
        <v>87</v>
      </c>
      <c r="C26">
        <v>2</v>
      </c>
      <c r="D26" s="32" t="s">
        <v>128</v>
      </c>
      <c r="E26" t="s">
        <v>129</v>
      </c>
    </row>
    <row r="27" spans="1:5" ht="42.75">
      <c r="A27">
        <v>24</v>
      </c>
      <c r="B27" t="s">
        <v>88</v>
      </c>
      <c r="C27">
        <v>2</v>
      </c>
      <c r="D27" s="32" t="s">
        <v>130</v>
      </c>
    </row>
    <row r="28" spans="1:5">
      <c r="A28" s="29">
        <v>25</v>
      </c>
      <c r="B28" t="s">
        <v>89</v>
      </c>
      <c r="C28">
        <v>2</v>
      </c>
      <c r="D28" t="s">
        <v>133</v>
      </c>
      <c r="E28" t="s">
        <v>124</v>
      </c>
    </row>
    <row r="29" spans="1:5">
      <c r="A29">
        <v>26</v>
      </c>
      <c r="B29" t="s">
        <v>90</v>
      </c>
      <c r="C29">
        <v>2</v>
      </c>
      <c r="D29" t="s">
        <v>110</v>
      </c>
    </row>
    <row r="30" spans="1:5">
      <c r="A30">
        <v>27</v>
      </c>
      <c r="B30" t="s">
        <v>91</v>
      </c>
      <c r="C30">
        <v>2</v>
      </c>
      <c r="D30" t="s">
        <v>133</v>
      </c>
    </row>
    <row r="31" spans="1:5">
      <c r="A31" s="29">
        <v>28</v>
      </c>
      <c r="B31" t="s">
        <v>92</v>
      </c>
      <c r="C31">
        <v>4</v>
      </c>
      <c r="D31" t="s">
        <v>134</v>
      </c>
    </row>
    <row r="32" spans="1:5">
      <c r="A32">
        <v>29</v>
      </c>
      <c r="B32" t="s">
        <v>93</v>
      </c>
      <c r="C32">
        <v>3</v>
      </c>
      <c r="D32" t="s">
        <v>135</v>
      </c>
    </row>
    <row r="33" spans="1:5">
      <c r="A33">
        <v>30</v>
      </c>
      <c r="B33" t="s">
        <v>94</v>
      </c>
      <c r="C33">
        <v>1</v>
      </c>
      <c r="D33" t="s">
        <v>110</v>
      </c>
    </row>
    <row r="34" spans="1:5" ht="28.5">
      <c r="A34" s="29">
        <v>31</v>
      </c>
      <c r="B34" t="s">
        <v>95</v>
      </c>
      <c r="C34" s="31" t="s">
        <v>96</v>
      </c>
      <c r="D34" t="s">
        <v>136</v>
      </c>
      <c r="E34" s="32" t="s">
        <v>137</v>
      </c>
    </row>
    <row r="35" spans="1:5" ht="28.5">
      <c r="A35">
        <v>32</v>
      </c>
      <c r="B35" t="s">
        <v>97</v>
      </c>
      <c r="C35">
        <v>1</v>
      </c>
      <c r="D35" t="s">
        <v>131</v>
      </c>
      <c r="E35" s="32" t="s">
        <v>138</v>
      </c>
    </row>
    <row r="36" spans="1:5">
      <c r="A36">
        <v>33</v>
      </c>
      <c r="B36" t="s">
        <v>98</v>
      </c>
      <c r="C36" s="31" t="s">
        <v>99</v>
      </c>
      <c r="D36" t="s">
        <v>139</v>
      </c>
      <c r="E36" t="s">
        <v>140</v>
      </c>
    </row>
    <row r="37" spans="1:5">
      <c r="A37" s="29">
        <v>34</v>
      </c>
      <c r="B37" t="s">
        <v>100</v>
      </c>
      <c r="C37">
        <v>1</v>
      </c>
      <c r="D37" t="s">
        <v>141</v>
      </c>
    </row>
    <row r="38" spans="1:5" ht="42.75">
      <c r="A38">
        <v>35</v>
      </c>
      <c r="B38" t="s">
        <v>101</v>
      </c>
      <c r="C38">
        <v>3</v>
      </c>
      <c r="D38" t="s">
        <v>143</v>
      </c>
      <c r="E38" s="32" t="s">
        <v>142</v>
      </c>
    </row>
    <row r="39" spans="1:5">
      <c r="A39">
        <v>36</v>
      </c>
      <c r="B39" t="s">
        <v>102</v>
      </c>
      <c r="C39">
        <v>2</v>
      </c>
      <c r="D39" t="s">
        <v>254</v>
      </c>
    </row>
    <row r="40" spans="1:5">
      <c r="A40" s="29">
        <v>37</v>
      </c>
      <c r="B40" t="s">
        <v>103</v>
      </c>
      <c r="C40">
        <v>2</v>
      </c>
      <c r="D40" t="s">
        <v>144</v>
      </c>
    </row>
    <row r="41" spans="1:5">
      <c r="A41">
        <v>38</v>
      </c>
      <c r="B41" t="s">
        <v>104</v>
      </c>
      <c r="C41">
        <v>1</v>
      </c>
      <c r="D41" t="s">
        <v>145</v>
      </c>
    </row>
    <row r="42" spans="1:5">
      <c r="A42">
        <v>39</v>
      </c>
      <c r="B42" t="s">
        <v>105</v>
      </c>
      <c r="C42">
        <v>1</v>
      </c>
      <c r="D42" t="s">
        <v>145</v>
      </c>
    </row>
    <row r="43" spans="1:5">
      <c r="A43" s="29">
        <v>40</v>
      </c>
      <c r="B43" t="s">
        <v>106</v>
      </c>
      <c r="C43">
        <v>1</v>
      </c>
      <c r="D43" t="s">
        <v>146</v>
      </c>
    </row>
    <row r="44" spans="1:5">
      <c r="A44">
        <v>41</v>
      </c>
      <c r="B44" t="s">
        <v>56</v>
      </c>
      <c r="C44" s="31" t="s">
        <v>247</v>
      </c>
      <c r="D44" t="s">
        <v>131</v>
      </c>
    </row>
    <row r="45" spans="1:5">
      <c r="A45">
        <v>42</v>
      </c>
      <c r="B45" t="s">
        <v>107</v>
      </c>
      <c r="C45" s="31" t="s">
        <v>108</v>
      </c>
      <c r="D45" t="s">
        <v>131</v>
      </c>
    </row>
    <row r="46" spans="1:5">
      <c r="A46" s="29">
        <v>43</v>
      </c>
      <c r="B46" t="s">
        <v>109</v>
      </c>
      <c r="C46">
        <v>1</v>
      </c>
      <c r="D46" t="s">
        <v>132</v>
      </c>
    </row>
    <row r="47" spans="1:5">
      <c r="A47">
        <v>44</v>
      </c>
      <c r="B47" t="s">
        <v>147</v>
      </c>
      <c r="C47">
        <v>2</v>
      </c>
      <c r="D47" t="s">
        <v>111</v>
      </c>
    </row>
    <row r="48" spans="1:5">
      <c r="A48">
        <v>45</v>
      </c>
      <c r="B48" t="s">
        <v>148</v>
      </c>
      <c r="C48">
        <v>2</v>
      </c>
      <c r="D48" t="s">
        <v>111</v>
      </c>
    </row>
    <row r="49" spans="1:4">
      <c r="A49" s="29">
        <v>46</v>
      </c>
      <c r="B49" t="s">
        <v>149</v>
      </c>
      <c r="C49">
        <v>2</v>
      </c>
      <c r="D49" t="s">
        <v>111</v>
      </c>
    </row>
    <row r="50" spans="1:4">
      <c r="A50">
        <v>47</v>
      </c>
      <c r="B50" t="s">
        <v>150</v>
      </c>
      <c r="C50">
        <v>2</v>
      </c>
      <c r="D50" t="s">
        <v>111</v>
      </c>
    </row>
    <row r="51" spans="1:4">
      <c r="A51">
        <v>48</v>
      </c>
      <c r="B51" t="s">
        <v>151</v>
      </c>
      <c r="C51">
        <v>1</v>
      </c>
      <c r="D51" t="s">
        <v>152</v>
      </c>
    </row>
    <row r="52" spans="1:4">
      <c r="A52" s="29">
        <v>49</v>
      </c>
      <c r="B52" t="s">
        <v>153</v>
      </c>
      <c r="C52">
        <v>1</v>
      </c>
      <c r="D52" t="s">
        <v>141</v>
      </c>
    </row>
    <row r="53" spans="1:4">
      <c r="A53">
        <v>50</v>
      </c>
      <c r="B53" t="s">
        <v>248</v>
      </c>
      <c r="C53">
        <v>1</v>
      </c>
      <c r="D53" t="s">
        <v>110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29D4-4E5A-42DF-BBB4-1FA07819D9F0}">
  <dimension ref="A1:H43"/>
  <sheetViews>
    <sheetView topLeftCell="A20" workbookViewId="0">
      <selection activeCell="J12" sqref="J12"/>
    </sheetView>
  </sheetViews>
  <sheetFormatPr defaultRowHeight="14.25"/>
  <cols>
    <col min="1" max="1" width="11.86328125" bestFit="1" customWidth="1"/>
    <col min="2" max="2" width="37.6640625" bestFit="1" customWidth="1"/>
    <col min="3" max="3" width="24.06640625" bestFit="1" customWidth="1"/>
    <col min="4" max="4" width="23" customWidth="1"/>
    <col min="5" max="5" width="18" customWidth="1"/>
    <col min="6" max="6" width="22.53125" customWidth="1"/>
    <col min="7" max="7" width="18.73046875" bestFit="1" customWidth="1"/>
    <col min="8" max="8" width="36.53125" bestFit="1" customWidth="1"/>
  </cols>
  <sheetData>
    <row r="1" spans="1:8">
      <c r="A1" s="44" t="s">
        <v>231</v>
      </c>
      <c r="B1" s="45"/>
    </row>
    <row r="2" spans="1:8">
      <c r="A2" s="46" t="s">
        <v>232</v>
      </c>
      <c r="B2" s="46"/>
    </row>
    <row r="3" spans="1:8">
      <c r="A3" s="39" t="s">
        <v>64</v>
      </c>
      <c r="B3" s="36" t="s">
        <v>63</v>
      </c>
      <c r="C3" s="36" t="s">
        <v>155</v>
      </c>
      <c r="D3" s="36" t="s">
        <v>154</v>
      </c>
      <c r="E3" s="36" t="s">
        <v>6</v>
      </c>
      <c r="F3" s="36" t="s">
        <v>161</v>
      </c>
      <c r="G3" s="36" t="s">
        <v>162</v>
      </c>
      <c r="H3" s="36" t="s">
        <v>62</v>
      </c>
    </row>
    <row r="4" spans="1:8">
      <c r="A4" s="37" t="s">
        <v>156</v>
      </c>
      <c r="B4" s="37" t="s">
        <v>67</v>
      </c>
      <c r="C4" s="37" t="s">
        <v>17</v>
      </c>
      <c r="D4" s="37" t="s">
        <v>158</v>
      </c>
      <c r="E4" s="37">
        <v>2</v>
      </c>
      <c r="F4" s="37">
        <v>6000</v>
      </c>
      <c r="G4" s="37">
        <f>E4*F4</f>
        <v>12000</v>
      </c>
      <c r="H4" s="38" t="s">
        <v>110</v>
      </c>
    </row>
    <row r="5" spans="1:8">
      <c r="A5" s="37" t="s">
        <v>157</v>
      </c>
      <c r="B5" s="37" t="s">
        <v>159</v>
      </c>
      <c r="C5" s="37" t="s">
        <v>17</v>
      </c>
      <c r="D5" s="37" t="s">
        <v>160</v>
      </c>
      <c r="E5" s="37">
        <v>2</v>
      </c>
      <c r="F5" s="37">
        <v>82.15</v>
      </c>
      <c r="G5" s="37">
        <f t="shared" ref="G5:G43" si="0">E5*F5</f>
        <v>164.3</v>
      </c>
      <c r="H5" s="37" t="s">
        <v>111</v>
      </c>
    </row>
    <row r="6" spans="1:8">
      <c r="A6" s="37" t="s">
        <v>163</v>
      </c>
      <c r="B6" s="37" t="s">
        <v>70</v>
      </c>
      <c r="C6" s="37" t="s">
        <v>164</v>
      </c>
      <c r="D6" s="37" t="s">
        <v>165</v>
      </c>
      <c r="E6" s="37">
        <v>1</v>
      </c>
      <c r="F6" s="37">
        <v>898.8</v>
      </c>
      <c r="G6" s="37">
        <f t="shared" si="0"/>
        <v>898.8</v>
      </c>
      <c r="H6" s="37" t="s">
        <v>233</v>
      </c>
    </row>
    <row r="7" spans="1:8">
      <c r="A7" s="37" t="s">
        <v>166</v>
      </c>
      <c r="B7" s="37" t="s">
        <v>170</v>
      </c>
      <c r="C7" s="37" t="s">
        <v>58</v>
      </c>
      <c r="D7" s="37" t="s">
        <v>158</v>
      </c>
      <c r="E7" s="37">
        <v>1</v>
      </c>
      <c r="F7" s="37">
        <v>2400</v>
      </c>
      <c r="G7" s="37">
        <f t="shared" si="0"/>
        <v>2400</v>
      </c>
      <c r="H7" s="37" t="s">
        <v>233</v>
      </c>
    </row>
    <row r="8" spans="1:8">
      <c r="A8" s="37" t="s">
        <v>167</v>
      </c>
      <c r="B8" s="37" t="s">
        <v>168</v>
      </c>
      <c r="C8" s="37" t="s">
        <v>58</v>
      </c>
      <c r="D8" s="37" t="s">
        <v>158</v>
      </c>
      <c r="E8" s="37">
        <v>1</v>
      </c>
      <c r="F8" s="37">
        <v>240</v>
      </c>
      <c r="G8" s="37">
        <f t="shared" si="0"/>
        <v>240</v>
      </c>
      <c r="H8" s="37" t="s">
        <v>234</v>
      </c>
    </row>
    <row r="9" spans="1:8">
      <c r="A9" s="37" t="s">
        <v>171</v>
      </c>
      <c r="B9" s="35" t="s">
        <v>31</v>
      </c>
      <c r="C9" s="37" t="s">
        <v>58</v>
      </c>
      <c r="D9" s="37" t="s">
        <v>175</v>
      </c>
      <c r="E9" s="37">
        <v>1</v>
      </c>
      <c r="F9" s="37">
        <v>109</v>
      </c>
      <c r="G9" s="37">
        <f t="shared" si="0"/>
        <v>109</v>
      </c>
      <c r="H9" s="37" t="s">
        <v>233</v>
      </c>
    </row>
    <row r="10" spans="1:8">
      <c r="A10" s="37" t="s">
        <v>172</v>
      </c>
      <c r="B10" s="38" t="s">
        <v>91</v>
      </c>
      <c r="C10" s="37" t="s">
        <v>58</v>
      </c>
      <c r="D10" s="37" t="s">
        <v>176</v>
      </c>
      <c r="E10" s="37">
        <v>2</v>
      </c>
      <c r="F10" s="37">
        <v>15.43</v>
      </c>
      <c r="G10" s="37">
        <f t="shared" si="0"/>
        <v>30.86</v>
      </c>
      <c r="H10" s="38" t="s">
        <v>133</v>
      </c>
    </row>
    <row r="11" spans="1:8">
      <c r="A11" s="37" t="s">
        <v>173</v>
      </c>
      <c r="B11" s="37" t="s">
        <v>177</v>
      </c>
      <c r="C11" s="37" t="s">
        <v>58</v>
      </c>
      <c r="D11" s="37" t="s">
        <v>176</v>
      </c>
      <c r="E11" s="37">
        <v>1</v>
      </c>
      <c r="F11" s="37">
        <v>10.08</v>
      </c>
      <c r="G11" s="37">
        <f t="shared" si="0"/>
        <v>10.08</v>
      </c>
      <c r="H11" s="37" t="s">
        <v>235</v>
      </c>
    </row>
    <row r="12" spans="1:8">
      <c r="A12" s="37" t="s">
        <v>178</v>
      </c>
      <c r="B12" s="37" t="s">
        <v>179</v>
      </c>
      <c r="C12" s="37" t="s">
        <v>58</v>
      </c>
      <c r="D12" s="37" t="s">
        <v>180</v>
      </c>
      <c r="E12" s="37">
        <v>1</v>
      </c>
      <c r="F12" s="37">
        <v>18.059999999999999</v>
      </c>
      <c r="G12" s="37">
        <f t="shared" si="0"/>
        <v>18.059999999999999</v>
      </c>
      <c r="H12" s="37" t="s">
        <v>141</v>
      </c>
    </row>
    <row r="13" spans="1:8">
      <c r="A13" s="37" t="s">
        <v>181</v>
      </c>
      <c r="B13" s="38" t="s">
        <v>75</v>
      </c>
      <c r="C13" s="37" t="s">
        <v>183</v>
      </c>
      <c r="D13" s="37" t="s">
        <v>176</v>
      </c>
      <c r="E13" s="37">
        <v>3</v>
      </c>
      <c r="F13" s="37">
        <v>19.52</v>
      </c>
      <c r="G13" s="37">
        <f t="shared" si="0"/>
        <v>58.56</v>
      </c>
      <c r="H13" s="38" t="s">
        <v>115</v>
      </c>
    </row>
    <row r="14" spans="1:8">
      <c r="A14" s="37" t="s">
        <v>182</v>
      </c>
      <c r="B14" s="37" t="s">
        <v>76</v>
      </c>
      <c r="C14" s="37" t="s">
        <v>183</v>
      </c>
      <c r="D14" s="37" t="s">
        <v>176</v>
      </c>
      <c r="E14" s="37">
        <v>3</v>
      </c>
      <c r="F14" s="37">
        <v>5.29</v>
      </c>
      <c r="G14" s="37">
        <f t="shared" si="0"/>
        <v>15.870000000000001</v>
      </c>
      <c r="H14" s="37" t="s">
        <v>116</v>
      </c>
    </row>
    <row r="15" spans="1:8">
      <c r="A15" s="37" t="s">
        <v>184</v>
      </c>
      <c r="B15" s="35" t="s">
        <v>51</v>
      </c>
      <c r="C15" s="37" t="s">
        <v>183</v>
      </c>
      <c r="D15" s="37" t="s">
        <v>176</v>
      </c>
      <c r="E15" s="37">
        <v>1</v>
      </c>
      <c r="F15" s="37">
        <v>40.15</v>
      </c>
      <c r="G15" s="37">
        <f t="shared" si="0"/>
        <v>40.15</v>
      </c>
      <c r="H15" s="37" t="s">
        <v>145</v>
      </c>
    </row>
    <row r="16" spans="1:8">
      <c r="A16" s="37" t="s">
        <v>185</v>
      </c>
      <c r="B16" s="37" t="s">
        <v>101</v>
      </c>
      <c r="C16" s="37" t="s">
        <v>183</v>
      </c>
      <c r="D16" s="37" t="s">
        <v>176</v>
      </c>
      <c r="E16" s="37">
        <v>3</v>
      </c>
      <c r="F16" s="37">
        <v>5.04</v>
      </c>
      <c r="G16" s="37">
        <f t="shared" si="0"/>
        <v>15.120000000000001</v>
      </c>
      <c r="H16" s="37" t="s">
        <v>236</v>
      </c>
    </row>
    <row r="17" spans="1:8">
      <c r="A17" s="37" t="s">
        <v>186</v>
      </c>
      <c r="B17" s="37" t="s">
        <v>102</v>
      </c>
      <c r="C17" s="37" t="s">
        <v>183</v>
      </c>
      <c r="D17" s="37" t="s">
        <v>176</v>
      </c>
      <c r="E17" s="37">
        <v>2</v>
      </c>
      <c r="F17" s="37">
        <v>4.2699999999999996</v>
      </c>
      <c r="G17" s="37">
        <f t="shared" si="0"/>
        <v>8.5399999999999991</v>
      </c>
      <c r="H17" s="37" t="s">
        <v>237</v>
      </c>
    </row>
    <row r="18" spans="1:8">
      <c r="A18" s="37" t="s">
        <v>187</v>
      </c>
      <c r="B18" s="37" t="s">
        <v>103</v>
      </c>
      <c r="C18" s="37" t="s">
        <v>183</v>
      </c>
      <c r="D18" s="37" t="s">
        <v>176</v>
      </c>
      <c r="E18" s="37">
        <v>2</v>
      </c>
      <c r="F18" s="37">
        <v>26.77</v>
      </c>
      <c r="G18" s="37">
        <f t="shared" si="0"/>
        <v>53.54</v>
      </c>
      <c r="H18" s="37" t="s">
        <v>111</v>
      </c>
    </row>
    <row r="19" spans="1:8">
      <c r="A19" s="37" t="s">
        <v>188</v>
      </c>
      <c r="B19" s="37" t="s">
        <v>201</v>
      </c>
      <c r="C19" s="37" t="s">
        <v>11</v>
      </c>
      <c r="D19" s="37" t="s">
        <v>176</v>
      </c>
      <c r="E19" s="37">
        <v>2</v>
      </c>
      <c r="F19" s="37">
        <v>44.4</v>
      </c>
      <c r="G19" s="37">
        <f t="shared" si="0"/>
        <v>88.8</v>
      </c>
      <c r="H19" s="37" t="s">
        <v>238</v>
      </c>
    </row>
    <row r="20" spans="1:8">
      <c r="A20" s="37" t="s">
        <v>189</v>
      </c>
      <c r="B20" s="37" t="s">
        <v>202</v>
      </c>
      <c r="C20" s="37" t="s">
        <v>11</v>
      </c>
      <c r="D20" s="37" t="s">
        <v>176</v>
      </c>
      <c r="E20" s="37">
        <v>2</v>
      </c>
      <c r="F20" s="37">
        <v>6.85</v>
      </c>
      <c r="G20" s="37">
        <f t="shared" si="0"/>
        <v>13.7</v>
      </c>
      <c r="H20" s="37" t="s">
        <v>133</v>
      </c>
    </row>
    <row r="21" spans="1:8">
      <c r="A21" s="37" t="s">
        <v>190</v>
      </c>
      <c r="B21" s="37" t="s">
        <v>203</v>
      </c>
      <c r="C21" s="37" t="s">
        <v>11</v>
      </c>
      <c r="D21" s="37" t="s">
        <v>176</v>
      </c>
      <c r="E21" s="37">
        <v>2</v>
      </c>
      <c r="F21" s="37">
        <v>35.75</v>
      </c>
      <c r="G21" s="37">
        <f t="shared" si="0"/>
        <v>71.5</v>
      </c>
      <c r="H21" s="37" t="s">
        <v>240</v>
      </c>
    </row>
    <row r="22" spans="1:8">
      <c r="A22" s="37" t="s">
        <v>191</v>
      </c>
      <c r="B22" s="37" t="s">
        <v>204</v>
      </c>
      <c r="C22" s="37" t="s">
        <v>11</v>
      </c>
      <c r="D22" s="37" t="s">
        <v>176</v>
      </c>
      <c r="E22" s="40">
        <v>3</v>
      </c>
      <c r="F22" s="37">
        <v>7.08</v>
      </c>
      <c r="G22" s="37">
        <f t="shared" si="0"/>
        <v>21.240000000000002</v>
      </c>
      <c r="H22" s="38" t="s">
        <v>120</v>
      </c>
    </row>
    <row r="23" spans="1:8">
      <c r="A23" s="37" t="s">
        <v>192</v>
      </c>
      <c r="B23" s="37" t="s">
        <v>205</v>
      </c>
      <c r="C23" s="37" t="s">
        <v>11</v>
      </c>
      <c r="D23" s="37" t="s">
        <v>176</v>
      </c>
      <c r="E23" s="37">
        <v>4</v>
      </c>
      <c r="F23" s="37">
        <v>7.08</v>
      </c>
      <c r="G23" s="37">
        <f t="shared" si="0"/>
        <v>28.32</v>
      </c>
      <c r="H23" s="38" t="s">
        <v>120</v>
      </c>
    </row>
    <row r="24" spans="1:8">
      <c r="A24" s="37" t="s">
        <v>193</v>
      </c>
      <c r="B24" s="37" t="s">
        <v>206</v>
      </c>
      <c r="C24" s="37" t="s">
        <v>11</v>
      </c>
      <c r="D24" s="37" t="s">
        <v>176</v>
      </c>
      <c r="E24" s="37">
        <v>2</v>
      </c>
      <c r="F24" s="37">
        <v>22.01</v>
      </c>
      <c r="G24" s="37">
        <f t="shared" si="0"/>
        <v>44.02</v>
      </c>
      <c r="H24" s="37" t="s">
        <v>111</v>
      </c>
    </row>
    <row r="25" spans="1:8" ht="42.75">
      <c r="A25" s="37" t="s">
        <v>194</v>
      </c>
      <c r="B25" s="37" t="s">
        <v>207</v>
      </c>
      <c r="C25" s="37" t="s">
        <v>11</v>
      </c>
      <c r="D25" s="37" t="s">
        <v>180</v>
      </c>
      <c r="E25" s="37">
        <v>1</v>
      </c>
      <c r="F25" s="37">
        <v>4.03</v>
      </c>
      <c r="G25" s="37">
        <f t="shared" si="0"/>
        <v>4.03</v>
      </c>
      <c r="H25" s="42" t="s">
        <v>241</v>
      </c>
    </row>
    <row r="26" spans="1:8">
      <c r="A26" s="37" t="s">
        <v>195</v>
      </c>
      <c r="B26" s="37" t="s">
        <v>208</v>
      </c>
      <c r="C26" s="37" t="s">
        <v>11</v>
      </c>
      <c r="D26" s="37" t="s">
        <v>209</v>
      </c>
      <c r="E26" s="37">
        <v>2</v>
      </c>
      <c r="F26" s="37">
        <v>17.98</v>
      </c>
      <c r="G26" s="37">
        <f t="shared" si="0"/>
        <v>35.96</v>
      </c>
      <c r="H26" s="38" t="s">
        <v>110</v>
      </c>
    </row>
    <row r="27" spans="1:8" ht="42.75">
      <c r="A27" s="37" t="s">
        <v>196</v>
      </c>
      <c r="B27" s="37" t="s">
        <v>86</v>
      </c>
      <c r="C27" s="37" t="s">
        <v>11</v>
      </c>
      <c r="D27" s="37" t="s">
        <v>176</v>
      </c>
      <c r="E27" s="37">
        <v>1</v>
      </c>
      <c r="F27" s="37">
        <v>4.5199999999999996</v>
      </c>
      <c r="G27" s="37">
        <f t="shared" si="0"/>
        <v>4.5199999999999996</v>
      </c>
      <c r="H27" s="42" t="s">
        <v>126</v>
      </c>
    </row>
    <row r="28" spans="1:8" ht="28.5">
      <c r="A28" s="37" t="s">
        <v>197</v>
      </c>
      <c r="B28" s="38" t="s">
        <v>87</v>
      </c>
      <c r="C28" s="37" t="s">
        <v>11</v>
      </c>
      <c r="D28" s="37" t="s">
        <v>210</v>
      </c>
      <c r="E28" s="37">
        <v>2</v>
      </c>
      <c r="F28" s="37">
        <v>2.78</v>
      </c>
      <c r="G28" s="37">
        <f t="shared" si="0"/>
        <v>5.56</v>
      </c>
      <c r="H28" s="43" t="s">
        <v>242</v>
      </c>
    </row>
    <row r="29" spans="1:8">
      <c r="A29" s="37" t="s">
        <v>198</v>
      </c>
      <c r="B29" s="37" t="s">
        <v>94</v>
      </c>
      <c r="C29" s="37" t="s">
        <v>11</v>
      </c>
      <c r="D29" s="37" t="s">
        <v>211</v>
      </c>
      <c r="E29" s="37">
        <v>1</v>
      </c>
      <c r="F29" s="37">
        <v>48.5</v>
      </c>
      <c r="G29" s="37">
        <f t="shared" si="0"/>
        <v>48.5</v>
      </c>
      <c r="H29" s="38" t="s">
        <v>110</v>
      </c>
    </row>
    <row r="30" spans="1:8">
      <c r="A30" s="37" t="s">
        <v>199</v>
      </c>
      <c r="B30" s="38" t="s">
        <v>212</v>
      </c>
      <c r="C30" s="37" t="s">
        <v>11</v>
      </c>
      <c r="D30" s="37" t="s">
        <v>180</v>
      </c>
      <c r="E30" s="37">
        <v>1</v>
      </c>
      <c r="F30" s="37">
        <v>11.21</v>
      </c>
      <c r="G30" s="37">
        <f t="shared" si="0"/>
        <v>11.21</v>
      </c>
      <c r="H30" s="37" t="s">
        <v>243</v>
      </c>
    </row>
    <row r="31" spans="1:8">
      <c r="A31" s="37" t="s">
        <v>200</v>
      </c>
      <c r="B31" s="38" t="s">
        <v>215</v>
      </c>
      <c r="C31" s="37" t="s">
        <v>11</v>
      </c>
      <c r="D31" s="37" t="s">
        <v>213</v>
      </c>
      <c r="E31" s="37">
        <v>5</v>
      </c>
      <c r="F31" s="37">
        <v>3.23</v>
      </c>
      <c r="G31" s="37">
        <f t="shared" si="0"/>
        <v>16.149999999999999</v>
      </c>
      <c r="H31" s="37" t="s">
        <v>244</v>
      </c>
    </row>
    <row r="32" spans="1:8">
      <c r="A32" s="37" t="s">
        <v>214</v>
      </c>
      <c r="B32" s="37" t="s">
        <v>216</v>
      </c>
      <c r="C32" s="37" t="s">
        <v>11</v>
      </c>
      <c r="D32" s="37" t="s">
        <v>213</v>
      </c>
      <c r="E32" s="37">
        <v>1</v>
      </c>
      <c r="F32" s="37">
        <v>3.23</v>
      </c>
      <c r="G32" s="37">
        <f t="shared" si="0"/>
        <v>3.23</v>
      </c>
      <c r="H32" s="37" t="s">
        <v>245</v>
      </c>
    </row>
    <row r="33" spans="1:8">
      <c r="A33" s="37" t="s">
        <v>217</v>
      </c>
      <c r="B33" s="38" t="s">
        <v>105</v>
      </c>
      <c r="C33" s="37" t="s">
        <v>11</v>
      </c>
      <c r="D33" s="37" t="s">
        <v>176</v>
      </c>
      <c r="E33" s="37">
        <v>1</v>
      </c>
      <c r="F33" s="37">
        <v>2.4700000000000002</v>
      </c>
      <c r="G33" s="37">
        <f t="shared" si="0"/>
        <v>2.4700000000000002</v>
      </c>
      <c r="H33" s="37" t="s">
        <v>145</v>
      </c>
    </row>
    <row r="34" spans="1:8">
      <c r="A34" s="37" t="s">
        <v>218</v>
      </c>
      <c r="B34" s="37" t="s">
        <v>109</v>
      </c>
      <c r="C34" s="37" t="s">
        <v>11</v>
      </c>
      <c r="D34" s="37" t="s">
        <v>180</v>
      </c>
      <c r="E34" s="37">
        <v>1</v>
      </c>
      <c r="F34" s="37">
        <v>49</v>
      </c>
      <c r="G34" s="37">
        <f t="shared" si="0"/>
        <v>49</v>
      </c>
      <c r="H34" s="37" t="s">
        <v>132</v>
      </c>
    </row>
    <row r="35" spans="1:8">
      <c r="A35" s="37" t="s">
        <v>219</v>
      </c>
      <c r="B35" s="37" t="s">
        <v>147</v>
      </c>
      <c r="C35" s="37" t="s">
        <v>11</v>
      </c>
      <c r="D35" s="37" t="s">
        <v>225</v>
      </c>
      <c r="E35" s="37">
        <v>2</v>
      </c>
      <c r="F35" s="37">
        <v>0</v>
      </c>
      <c r="G35" s="37">
        <f t="shared" si="0"/>
        <v>0</v>
      </c>
      <c r="H35" s="37" t="s">
        <v>111</v>
      </c>
    </row>
    <row r="36" spans="1:8">
      <c r="A36" s="37" t="s">
        <v>220</v>
      </c>
      <c r="B36" s="38" t="s">
        <v>148</v>
      </c>
      <c r="C36" s="37" t="s">
        <v>11</v>
      </c>
      <c r="D36" s="37" t="s">
        <v>225</v>
      </c>
      <c r="E36" s="37">
        <v>2</v>
      </c>
      <c r="F36" s="37">
        <v>0</v>
      </c>
      <c r="G36" s="37">
        <f t="shared" si="0"/>
        <v>0</v>
      </c>
      <c r="H36" s="37" t="s">
        <v>111</v>
      </c>
    </row>
    <row r="37" spans="1:8">
      <c r="A37" s="37" t="s">
        <v>221</v>
      </c>
      <c r="B37" s="41" t="s">
        <v>149</v>
      </c>
      <c r="C37" s="37" t="s">
        <v>11</v>
      </c>
      <c r="D37" s="37" t="s">
        <v>225</v>
      </c>
      <c r="E37" s="37">
        <v>2</v>
      </c>
      <c r="F37" s="37">
        <v>0</v>
      </c>
      <c r="G37" s="37">
        <f t="shared" si="0"/>
        <v>0</v>
      </c>
      <c r="H37" s="37" t="s">
        <v>111</v>
      </c>
    </row>
    <row r="38" spans="1:8">
      <c r="A38" s="37" t="s">
        <v>222</v>
      </c>
      <c r="B38" s="38" t="s">
        <v>150</v>
      </c>
      <c r="C38" s="37" t="s">
        <v>11</v>
      </c>
      <c r="D38" s="37" t="s">
        <v>225</v>
      </c>
      <c r="E38" s="37">
        <v>2</v>
      </c>
      <c r="F38" s="37">
        <v>0</v>
      </c>
      <c r="G38" s="37">
        <f t="shared" si="0"/>
        <v>0</v>
      </c>
      <c r="H38" s="37" t="s">
        <v>111</v>
      </c>
    </row>
    <row r="39" spans="1:8">
      <c r="A39" s="37" t="s">
        <v>223</v>
      </c>
      <c r="B39" s="41" t="s">
        <v>151</v>
      </c>
      <c r="C39" s="37" t="s">
        <v>11</v>
      </c>
      <c r="D39" s="37" t="s">
        <v>225</v>
      </c>
      <c r="E39" s="37">
        <v>1</v>
      </c>
      <c r="F39" s="37">
        <v>0</v>
      </c>
      <c r="G39" s="37">
        <f t="shared" si="0"/>
        <v>0</v>
      </c>
      <c r="H39" s="37" t="s">
        <v>152</v>
      </c>
    </row>
    <row r="40" spans="1:8">
      <c r="A40" s="37" t="s">
        <v>224</v>
      </c>
      <c r="B40" s="38" t="s">
        <v>153</v>
      </c>
      <c r="C40" s="37" t="s">
        <v>11</v>
      </c>
      <c r="D40" s="37" t="s">
        <v>225</v>
      </c>
      <c r="E40" s="37">
        <v>1</v>
      </c>
      <c r="F40" s="37">
        <v>0</v>
      </c>
      <c r="G40" s="37">
        <f t="shared" si="0"/>
        <v>0</v>
      </c>
      <c r="H40" s="37" t="s">
        <v>111</v>
      </c>
    </row>
    <row r="41" spans="1:8">
      <c r="A41" s="37" t="s">
        <v>226</v>
      </c>
      <c r="B41" s="38" t="s">
        <v>153</v>
      </c>
      <c r="C41" s="37" t="s">
        <v>11</v>
      </c>
      <c r="D41" s="37" t="s">
        <v>225</v>
      </c>
      <c r="E41" s="37">
        <v>1</v>
      </c>
      <c r="F41" s="37">
        <v>0</v>
      </c>
      <c r="G41" s="37">
        <f t="shared" si="0"/>
        <v>0</v>
      </c>
      <c r="H41" s="37" t="s">
        <v>111</v>
      </c>
    </row>
    <row r="42" spans="1:8">
      <c r="A42" s="37" t="s">
        <v>227</v>
      </c>
      <c r="B42" s="38" t="s">
        <v>228</v>
      </c>
      <c r="C42" s="37" t="s">
        <v>11</v>
      </c>
      <c r="D42" s="37" t="s">
        <v>225</v>
      </c>
      <c r="E42" s="37">
        <v>1</v>
      </c>
      <c r="F42" s="37">
        <v>0</v>
      </c>
      <c r="G42" s="37">
        <f t="shared" si="0"/>
        <v>0</v>
      </c>
      <c r="H42" s="37" t="s">
        <v>111</v>
      </c>
    </row>
    <row r="43" spans="1:8">
      <c r="A43" s="37" t="s">
        <v>230</v>
      </c>
      <c r="B43" s="38" t="s">
        <v>106</v>
      </c>
      <c r="C43" s="37" t="s">
        <v>60</v>
      </c>
      <c r="D43" s="37" t="s">
        <v>176</v>
      </c>
      <c r="E43" s="37">
        <v>1</v>
      </c>
      <c r="F43" s="37">
        <v>5.99</v>
      </c>
      <c r="G43" s="37">
        <f t="shared" si="0"/>
        <v>5.99</v>
      </c>
      <c r="H43" s="37" t="s">
        <v>146</v>
      </c>
    </row>
  </sheetData>
  <mergeCells count="2">
    <mergeCell ref="A1:B1"/>
    <mergeCell ref="A2:B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5BDC-A4CA-44DF-A65E-C6477B134CD9}">
  <dimension ref="A1:A7"/>
  <sheetViews>
    <sheetView workbookViewId="0">
      <selection activeCell="J7" sqref="J7"/>
    </sheetView>
  </sheetViews>
  <sheetFormatPr defaultRowHeight="14.25"/>
  <cols>
    <col min="1" max="1" width="24.59765625" bestFit="1" customWidth="1"/>
    <col min="7" max="7" width="9.46484375" customWidth="1"/>
    <col min="10" max="10" width="9.6640625" bestFit="1" customWidth="1"/>
    <col min="11" max="11" width="15.19921875" bestFit="1" customWidth="1"/>
  </cols>
  <sheetData>
    <row r="1" spans="1:1">
      <c r="A1" s="5" t="s">
        <v>41</v>
      </c>
    </row>
    <row r="2" spans="1:1">
      <c r="A2" t="s">
        <v>58</v>
      </c>
    </row>
    <row r="3" spans="1:1">
      <c r="A3" t="s">
        <v>42</v>
      </c>
    </row>
    <row r="4" spans="1:1">
      <c r="A4" t="s">
        <v>17</v>
      </c>
    </row>
    <row r="5" spans="1:1">
      <c r="A5" t="s">
        <v>59</v>
      </c>
    </row>
    <row r="6" spans="1:1">
      <c r="A6" t="s">
        <v>11</v>
      </c>
    </row>
    <row r="7" spans="1:1">
      <c r="A7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199A03E992944958F6577163A0008" ma:contentTypeVersion="13" ma:contentTypeDescription="Create a new document." ma:contentTypeScope="" ma:versionID="fdc4c525d46df43065f7b30c03b775f0">
  <xsd:schema xmlns:xsd="http://www.w3.org/2001/XMLSchema" xmlns:xs="http://www.w3.org/2001/XMLSchema" xmlns:p="http://schemas.microsoft.com/office/2006/metadata/properties" xmlns:ns2="5253ac1c-6d7e-4c0e-a8ba-eaaaf8514987" xmlns:ns3="9bd13415-8900-4096-8b20-dcb8e8f7ab0f" targetNamespace="http://schemas.microsoft.com/office/2006/metadata/properties" ma:root="true" ma:fieldsID="447db7b5dab771738fb09f84e71b155b" ns2:_="" ns3:_="">
    <xsd:import namespace="5253ac1c-6d7e-4c0e-a8ba-eaaaf8514987"/>
    <xsd:import namespace="9bd13415-8900-4096-8b20-dcb8e8f7ab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3ac1c-6d7e-4c0e-a8ba-eaaaf8514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63537c-d192-4dc4-bb87-a5632b1c7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13415-8900-4096-8b20-dcb8e8f7ab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ccc607-5aca-44eb-b3dd-ec8dd397364b}" ma:internalName="TaxCatchAll" ma:showField="CatchAllData" ma:web="9bd13415-8900-4096-8b20-dcb8e8f7a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3ac1c-6d7e-4c0e-a8ba-eaaaf8514987">
      <Terms xmlns="http://schemas.microsoft.com/office/infopath/2007/PartnerControls"/>
    </lcf76f155ced4ddcb4097134ff3c332f>
    <TaxCatchAll xmlns="9bd13415-8900-4096-8b20-dcb8e8f7ab0f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D28B7F-9BF9-4051-9831-FA12B1F9E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3ac1c-6d7e-4c0e-a8ba-eaaaf8514987"/>
    <ds:schemaRef ds:uri="9bd13415-8900-4096-8b20-dcb8e8f7a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53E9C4-1D4A-4083-81C2-4D65A2EB8466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5253ac1c-6d7e-4c0e-a8ba-eaaaf8514987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bd13415-8900-4096-8b20-dcb8e8f7ab0f"/>
  </ds:schemaRefs>
</ds:datastoreItem>
</file>

<file path=customXml/itemProps3.xml><?xml version="1.0" encoding="utf-8"?>
<ds:datastoreItem xmlns:ds="http://schemas.openxmlformats.org/officeDocument/2006/customXml" ds:itemID="{4FB035E3-07F1-45DD-8295-911B4AB571C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13BC783-E1E7-4BFE-B5D7-AC2D959B0F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Equipment</vt:lpstr>
      <vt:lpstr>BOM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Theodor Heath</dc:creator>
  <cp:keywords/>
  <dc:description/>
  <cp:lastModifiedBy>Qais Momani</cp:lastModifiedBy>
  <cp:revision/>
  <cp:lastPrinted>2026-05-17T12:46:04Z</cp:lastPrinted>
  <dcterms:created xsi:type="dcterms:W3CDTF">2023-10-09T11:49:44Z</dcterms:created>
  <dcterms:modified xsi:type="dcterms:W3CDTF">2026-06-11T13:21:28Z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0x010100AA9199A03E992944958F6577163A0008</vt:lpwstr>
  </property>
  <property fmtid="{D5CDD505-2E9C-101B-9397-08002B2CF9AE}" pid="3" name="MediaServiceImageTags">
    <vt:lpwstr/>
  </property>
</Properties>
</file>